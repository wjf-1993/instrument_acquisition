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电压模板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1__123Graph_ACHART_1" hidden="1">[1]Roadmap!$AE$21:$AO$21</definedName>
    <definedName name="___10__123Graph_LBL_BCHART_19" hidden="1">'[2]Rejects PPM'!$AN$89:$BE$89</definedName>
    <definedName name="___11__123Graph_LBL_CCHART_19" hidden="1">'[2]Rejects PPM'!$AN$90:$BE$90</definedName>
    <definedName name="___12__123Graph_XCHART_20" hidden="1">'[2]Rejects PPM'!$AL$29:$AL$45</definedName>
    <definedName name="___123Graph_ACHART_1" hidden="1">[1]Roadmap!$AE$21:$AO$21</definedName>
    <definedName name="___123Graph_ACHART_19" hidden="1">'[2]Rejects PPM'!$AN$88:$AZ$88</definedName>
    <definedName name="___123Graph_ACHART_20" hidden="1">'[2]Rejects PPM'!$AN$29:$AN$44</definedName>
    <definedName name="___123Graph_BCHART_1" hidden="1">[1]Roadmap!$AE$22:$AT$22</definedName>
    <definedName name="___123Graph_BCHART_19" hidden="1">'[2]Rejects PPM'!$AN$89:$BE$89</definedName>
    <definedName name="___123Graph_CCHART_19" hidden="1">'[2]Rejects PPM'!$AN$90:$BE$90</definedName>
    <definedName name="___123Graph_LBL_ACHART_1" hidden="1">[1]Roadmap!$AE$24:$AN$24</definedName>
    <definedName name="___123Graph_LBL_ACHART_20" hidden="1">'[2]Rejects PPM'!$AN$29:$AN$45</definedName>
    <definedName name="___123Graph_LBL_BCHART_1" hidden="1">[1]Roadmap!$AE$25:$AT$25</definedName>
    <definedName name="___123Graph_LBL_BCHART_19" hidden="1">'[2]Rejects PPM'!$AN$89:$BE$89</definedName>
    <definedName name="___123Graph_LBL_CCHART_19" hidden="1">'[2]Rejects PPM'!$AN$90:$BE$90</definedName>
    <definedName name="___123Graph_XCHART_20" hidden="1">'[2]Rejects PPM'!$AL$29:$AL$45</definedName>
    <definedName name="___2__123Graph_ACHART_19" hidden="1">'[2]Rejects PPM'!$AN$88:$AZ$88</definedName>
    <definedName name="___3__123Graph_ACHART_20" hidden="1">'[2]Rejects PPM'!$AN$29:$AN$44</definedName>
    <definedName name="___4__123Graph_BCHART_1" hidden="1">[1]Roadmap!$AE$22:$AT$22</definedName>
    <definedName name="___5__123Graph_BCHART_19" hidden="1">'[2]Rejects PPM'!$AN$89:$BE$89</definedName>
    <definedName name="___6__123Graph_CCHART_19" hidden="1">'[2]Rejects PPM'!$AN$90:$BE$90</definedName>
    <definedName name="___7__123Graph_LBL_ACHART_1" hidden="1">[1]Roadmap!$AE$24:$AN$24</definedName>
    <definedName name="___8__123Graph_LBL_ACHART_20" hidden="1">'[2]Rejects PPM'!$AN$29:$AN$45</definedName>
    <definedName name="___9__123Graph_LBL_BCHART_1" hidden="1">[1]Roadmap!$AE$25:$AT$25</definedName>
    <definedName name="__1__123Graph_ACHART_1" hidden="1">[1]Roadmap!$AE$21:$AO$21</definedName>
    <definedName name="__10__123Graph_LBL_BCHART_19" hidden="1">'[2]Rejects PPM'!$AN$89:$BE$89</definedName>
    <definedName name="__11__123Graph_LBL_CCHART_19" hidden="1">'[2]Rejects PPM'!$AN$90:$BE$90</definedName>
    <definedName name="__12__123Graph_XCHART_20" hidden="1">'[2]Rejects PPM'!$AL$29:$AL$45</definedName>
    <definedName name="__2__123Graph_ACHART_19" hidden="1">'[2]Rejects PPM'!$AN$88:$AZ$88</definedName>
    <definedName name="__3__123Graph_ACHART_20" hidden="1">'[2]Rejects PPM'!$AN$29:$AN$44</definedName>
    <definedName name="__4__123Graph_BCHART_1" hidden="1">[1]Roadmap!$AE$22:$AT$22</definedName>
    <definedName name="__5__123Graph_BCHART_19" hidden="1">'[2]Rejects PPM'!$AN$89:$BE$89</definedName>
    <definedName name="__6__123Graph_CCHART_19" hidden="1">'[2]Rejects PPM'!$AN$90:$BE$90</definedName>
    <definedName name="__7__123Graph_LBL_ACHART_1" hidden="1">[1]Roadmap!$AE$24:$AN$24</definedName>
    <definedName name="__8__123Graph_LBL_ACHART_20" hidden="1">'[2]Rejects PPM'!$AN$29:$AN$45</definedName>
    <definedName name="__9__123Graph_LBL_BCHART_1" hidden="1">[1]Roadmap!$AE$25:$AT$25</definedName>
    <definedName name="__DemandLoad">TRUE</definedName>
    <definedName name="_Order1" hidden="1">0</definedName>
    <definedName name="AABBB">[4]灯管加工1!$I$5</definedName>
    <definedName name="AccessDatabase" hidden="1">"C:\anaysis logs\Database.mdb"</definedName>
    <definedName name="anscount" hidden="1">2</definedName>
    <definedName name="Chamber3">'[3]Thermal Template'!$T$11:$T$14</definedName>
    <definedName name="Chambers">'[3]Thermal Template'!$G$2:$G$8</definedName>
    <definedName name="limcount" hidden="1">2</definedName>
    <definedName name="naam">"Chart 2"</definedName>
    <definedName name="oven">'[5]Thermal Template'!$G$2:$G$10</definedName>
    <definedName name="sencount" hidden="1">3</definedName>
    <definedName name="wwss">'[6]Foto Produto'!#REF!</definedName>
    <definedName name="China">[7]Approbation!$E$31:$E$40</definedName>
    <definedName name="EU">[7]Approbation!$E$12:$E$19</definedName>
    <definedName name="GCGM_excl_CN">[7]Approbation!$E$52:$E$59</definedName>
    <definedName name="Latam_Brazil">[7]Approbation!$E$70:$E$76</definedName>
    <definedName name="Latam_Except_Brazil">[7]Approbation!$E$78:$E$86</definedName>
    <definedName name="NAM">[7]Approbation!$E$21:$E$29</definedName>
    <definedName name="项目经理">[10]封面!$D$29</definedName>
    <definedName name="项目经理时间">[10]封面!$E$29</definedName>
    <definedName name="亮度均匀度">[8]CCC监督安全首页!#REF!</definedName>
    <definedName name="______123Graph_ACHART_1" hidden="1">[1]Roadmap!$AE$21:$AO$21</definedName>
    <definedName name="______123Graph_ACHART_19" hidden="1">'[2]Rejects PPM'!$AN$88:$AZ$88</definedName>
    <definedName name="______123Graph_ACHART_20" hidden="1">'[2]Rejects PPM'!$AN$29:$AN$44</definedName>
    <definedName name="______123Graph_BCHART_1" hidden="1">[1]Roadmap!$AE$22:$AT$22</definedName>
    <definedName name="______123Graph_BCHART_19" hidden="1">'[2]Rejects PPM'!$AN$89:$BE$89</definedName>
    <definedName name="______123Graph_CCHART_19" hidden="1">'[2]Rejects PPM'!$AN$90:$BE$90</definedName>
    <definedName name="______123Graph_LBL_ACHART_1" hidden="1">[1]Roadmap!$AE$24:$AN$24</definedName>
    <definedName name="______123Graph_LBL_ACHART_20" hidden="1">'[2]Rejects PPM'!$AN$29:$AN$45</definedName>
    <definedName name="______123Graph_LBL_BCHART_1" hidden="1">[1]Roadmap!$AE$25:$AT$25</definedName>
    <definedName name="______123Graph_LBL_BCHART_19" hidden="1">'[2]Rejects PPM'!$AN$89:$BE$89</definedName>
    <definedName name="______123Graph_LBL_CCHART_19" hidden="1">'[2]Rejects PPM'!$AN$90:$BE$90</definedName>
    <definedName name="______123Graph_XCHART_20" hidden="1">'[2]Rejects PPM'!$AL$29:$AL$45</definedName>
    <definedName name="_____123Graph_ACHART_1" hidden="1">[1]Roadmap!$AE$21:$AO$21</definedName>
    <definedName name="_____123Graph_ACHART_19" hidden="1">'[2]Rejects PPM'!$AN$88:$AZ$88</definedName>
    <definedName name="_____123Graph_ACHART_20" hidden="1">'[2]Rejects PPM'!$AN$29:$AN$44</definedName>
    <definedName name="_____123Graph_BCHART_1" hidden="1">[1]Roadmap!$AE$22:$AT$22</definedName>
    <definedName name="_____123Graph_BCHART_19" hidden="1">'[2]Rejects PPM'!$AN$89:$BE$89</definedName>
    <definedName name="_____123Graph_CCHART_19" hidden="1">'[2]Rejects PPM'!$AN$90:$BE$90</definedName>
    <definedName name="_____123Graph_LBL_ACHART_1" hidden="1">[1]Roadmap!$AE$24:$AN$24</definedName>
    <definedName name="_____123Graph_LBL_ACHART_20" hidden="1">'[2]Rejects PPM'!$AN$29:$AN$45</definedName>
    <definedName name="_____123Graph_LBL_BCHART_1" hidden="1">[1]Roadmap!$AE$25:$AT$25</definedName>
    <definedName name="_____123Graph_LBL_BCHART_19" hidden="1">'[2]Rejects PPM'!$AN$89:$BE$89</definedName>
    <definedName name="_____123Graph_LBL_CCHART_19" hidden="1">'[2]Rejects PPM'!$AN$90:$BE$90</definedName>
    <definedName name="_____123Graph_XCHART_20" hidden="1">'[2]Rejects PPM'!$AL$29:$AL$45</definedName>
    <definedName name="____123Graph_ACHART_1" hidden="1">[1]Roadmap!$AE$21:$AO$21</definedName>
    <definedName name="____123Graph_ACHART_19" hidden="1">'[2]Rejects PPM'!$AN$88:$AZ$88</definedName>
    <definedName name="____123Graph_ACHART_20" hidden="1">'[2]Rejects PPM'!$AN$29:$AN$44</definedName>
    <definedName name="____123Graph_BCHART_1" hidden="1">[1]Roadmap!$AE$22:$AT$22</definedName>
    <definedName name="____123Graph_BCHART_19" hidden="1">'[2]Rejects PPM'!$AN$89:$BE$89</definedName>
    <definedName name="____123Graph_CCHART_19" hidden="1">'[2]Rejects PPM'!$AN$90:$BE$90</definedName>
    <definedName name="____123Graph_LBL_ACHART_1" hidden="1">[1]Roadmap!$AE$24:$AN$24</definedName>
    <definedName name="____123Graph_LBL_ACHART_20" hidden="1">'[2]Rejects PPM'!$AN$29:$AN$45</definedName>
    <definedName name="____123Graph_LBL_BCHART_1" hidden="1">[1]Roadmap!$AE$25:$AT$25</definedName>
    <definedName name="____123Graph_LBL_BCHART_19" hidden="1">'[2]Rejects PPM'!$AN$89:$BE$89</definedName>
    <definedName name="____123Graph_LBL_CCHART_19" hidden="1">'[2]Rejects PPM'!$AN$90:$BE$90</definedName>
    <definedName name="____123Graph_XCHART_20" hidden="1">'[2]Rejects PPM'!$AL$29:$AL$45</definedName>
    <definedName name="SFACVGv">[11]dSDCM!$A$1</definedName>
    <definedName name="实地hpf">[12]OVP!$C$6</definedName>
    <definedName name="QQW" hidden="1">[1]Roadmap!#REF!</definedName>
    <definedName name="www" hidden="1">[1]Roadmap!#REF!</definedName>
    <definedName name="datre">#REF!</definedName>
    <definedName name="sdfosifs">#REF!</definedName>
    <definedName name="的">#REF!</definedName>
    <definedName name="东方闪电">#REF!</definedName>
    <definedName name="水电费水电费是地方">#REF!</definedName>
    <definedName name="QQQ">#REF!</definedName>
    <definedName name="_Parse_In" hidden="1">#REF!</definedName>
    <definedName name="_Parse_Out" hidden="1">#REF!</definedName>
    <definedName name="activation_feuille" hidden="1">#REF!</definedName>
    <definedName name="GO" hidden="1">#REF!</definedName>
    <definedName name="zz">#REF!</definedName>
    <definedName name="WP">#REF!</definedName>
    <definedName name="啊">#REF!</definedName>
    <definedName name="distance3">VLOOKUP('[13]Creepage and clearance A'!voltage3,[13]volPTI!$I$1:$L$7,[9]!hloc1,0)</definedName>
    <definedName name="distance4">VLOOKUP('[13]Creepage and clearance A'!voltage4,[13]volPTI!$I$1:$L$7,[9]!hloc1,0)</definedName>
    <definedName name="刘晓">#REF!</definedName>
    <definedName name="_10_HN">[15]LOSSTMP1!$BA$1:$BF$659</definedName>
    <definedName name="AIA">#REF!</definedName>
    <definedName name="AIA_26">#REF!</definedName>
    <definedName name="AIA_36">#REF!</definedName>
    <definedName name="AIA_8">#REF!</definedName>
    <definedName name="AIAP">#REF!</definedName>
    <definedName name="AIAP_26">#REF!</definedName>
    <definedName name="AIAP_36">#REF!</definedName>
    <definedName name="AIAP_8">#REF!</definedName>
    <definedName name="AIAPZ">#REF!</definedName>
    <definedName name="AIAPZ_26">#REF!</definedName>
    <definedName name="AIAPZ_36">#REF!</definedName>
    <definedName name="AIAPZ_8">#REF!</definedName>
    <definedName name="AIAS">#REF!</definedName>
    <definedName name="AIAS_26">#REF!</definedName>
    <definedName name="AIAS_36">#REF!</definedName>
    <definedName name="AIAS_8">#REF!</definedName>
    <definedName name="AIAZ">#REF!</definedName>
    <definedName name="AIAZ_26">#REF!</definedName>
    <definedName name="AIAZ_36">#REF!</definedName>
    <definedName name="AIAZ_8">#REF!</definedName>
    <definedName name="AIC">#REF!</definedName>
    <definedName name="AIC_26">#REF!</definedName>
    <definedName name="AIC_36">#REF!</definedName>
    <definedName name="AIC_8">#REF!</definedName>
    <definedName name="AICB">#REF!</definedName>
    <definedName name="AICB_26">#REF!</definedName>
    <definedName name="AICB_36">#REF!</definedName>
    <definedName name="AICB_8">#REF!</definedName>
    <definedName name="AICBL">#REF!</definedName>
    <definedName name="AICBL_26">#REF!</definedName>
    <definedName name="AICBL_36">#REF!</definedName>
    <definedName name="AICBL_8">#REF!</definedName>
    <definedName name="AICR">#REF!</definedName>
    <definedName name="AICR_26">#REF!</definedName>
    <definedName name="AICR_36">#REF!</definedName>
    <definedName name="AICR_8">#REF!</definedName>
    <definedName name="AIR">#REF!</definedName>
    <definedName name="AIR_26">#REF!</definedName>
    <definedName name="AIR_36">#REF!</definedName>
    <definedName name="AIR_8">#REF!</definedName>
    <definedName name="AIRC">#REF!</definedName>
    <definedName name="AIRC_26">#REF!</definedName>
    <definedName name="AIRC_36">#REF!</definedName>
    <definedName name="AIRC_8">#REF!</definedName>
    <definedName name="AIRP">#REF!</definedName>
    <definedName name="AIRP_26">#REF!</definedName>
    <definedName name="AIRP_36">#REF!</definedName>
    <definedName name="AIRP_8">#REF!</definedName>
    <definedName name="airpp">#REF!</definedName>
    <definedName name="AIRPZ">#REF!</definedName>
    <definedName name="AIRPZ_26">#REF!</definedName>
    <definedName name="AIRPZ_36">#REF!</definedName>
    <definedName name="AIRPZ_8">#REF!</definedName>
    <definedName name="AIRS">#REF!</definedName>
    <definedName name="AIRS_26">#REF!</definedName>
    <definedName name="AIRS_36">#REF!</definedName>
    <definedName name="AIRS_8">#REF!</definedName>
    <definedName name="airss">#REF!</definedName>
    <definedName name="AIRZ">#REF!</definedName>
    <definedName name="AIRZ_26">#REF!</definedName>
    <definedName name="AIRZ_36">#REF!</definedName>
    <definedName name="AIRZ_8">#REF!</definedName>
    <definedName name="airzz">#REF!</definedName>
    <definedName name="AWG">[15]WDGSPEC!$A$1220:$J$1875</definedName>
    <definedName name="BL">#REF!</definedName>
    <definedName name="BL_26">#REF!</definedName>
    <definedName name="BL_36">#REF!</definedName>
    <definedName name="BL_8">#REF!</definedName>
    <definedName name="BLZ">#REF!</definedName>
    <definedName name="BLZ_26">#REF!</definedName>
    <definedName name="BLZ_36">#REF!</definedName>
    <definedName name="BLZ_8">#REF!</definedName>
    <definedName name="BOBBIN">[15]WDGSPEC!$A$870:$H$1102</definedName>
    <definedName name="BPP">#REF!</definedName>
    <definedName name="BPP_26">#REF!</definedName>
    <definedName name="BPP_36">#REF!</definedName>
    <definedName name="BPP_8">#REF!</definedName>
    <definedName name="CALC">[15]WDGSPEC!$A$62</definedName>
    <definedName name="cc_8">[16]B_O_M_!$U$8</definedName>
    <definedName name="CI">#REF!</definedName>
    <definedName name="CI_26">#REF!</definedName>
    <definedName name="CI_36">#REF!</definedName>
    <definedName name="CI_8">#REF!</definedName>
    <definedName name="CIZ">#REF!</definedName>
    <definedName name="CIZ_26">#REF!</definedName>
    <definedName name="CIZ_36">#REF!</definedName>
    <definedName name="CIZ_8">#REF!</definedName>
    <definedName name="Core_Size">[15]LOSSTMP1!$B$41:$I$88</definedName>
    <definedName name="COREDATA">[15]BFORMULA!$B$67:$O$113</definedName>
    <definedName name="CTN">#REF!</definedName>
    <definedName name="CTN_26">#REF!</definedName>
    <definedName name="CTN_36">#REF!</definedName>
    <definedName name="CTN_8">#REF!</definedName>
    <definedName name="CTNZ">#REF!</definedName>
    <definedName name="CTNZ_26">#REF!</definedName>
    <definedName name="CTNZ_36">#REF!</definedName>
    <definedName name="CTNZ_8">#REF!</definedName>
    <definedName name="CY">#REF!</definedName>
    <definedName name="CY_26">#REF!</definedName>
    <definedName name="CY_36">#REF!</definedName>
    <definedName name="CY_8">#REF!</definedName>
    <definedName name="dataB">#REF!</definedName>
    <definedName name="Database">#REF!</definedName>
    <definedName name="DS">#REF!</definedName>
    <definedName name="DS_26">#REF!</definedName>
    <definedName name="DS_36">#REF!</definedName>
    <definedName name="DS_8">#REF!</definedName>
    <definedName name="DSZ">#REF!</definedName>
    <definedName name="DSZ_26">#REF!</definedName>
    <definedName name="DSZ_36">#REF!</definedName>
    <definedName name="DSZ_8">#REF!</definedName>
    <definedName name="EE10_11">[15]BFORMULA!$B$67:$O$113</definedName>
    <definedName name="Excel_BuiltIn_Database">#REF!</definedName>
    <definedName name="Excel_BuiltIn_Database_19">#REF!</definedName>
    <definedName name="Excel_BuiltIn_Database_26">#REF!</definedName>
    <definedName name="Excel_BuiltIn_Database_36">#REF!</definedName>
    <definedName name="Excel_BuiltIn_Database_8">#REF!</definedName>
    <definedName name="Excel_BuiltIn_Print_Area">[14]BFORMULA!$A$1:$G$40</definedName>
    <definedName name="Excel_BuiltIn_Print_Area_4">'[17]Excel Design Specs'!#REF!</definedName>
    <definedName name="FL">#REF!</definedName>
    <definedName name="FL_26">#REF!</definedName>
    <definedName name="FL_36">#REF!</definedName>
    <definedName name="FL_8">#REF!</definedName>
    <definedName name="FLZ">#REF!</definedName>
    <definedName name="FLZ_26">#REF!</definedName>
    <definedName name="FLZ_36">#REF!</definedName>
    <definedName name="FLZ_8">#REF!</definedName>
    <definedName name="FTEST">#REF!</definedName>
    <definedName name="FTEST_26">#REF!</definedName>
    <definedName name="FTEST_36">#REF!</definedName>
    <definedName name="FTEST_8">#REF!</definedName>
    <definedName name="FTESTZ">#REF!</definedName>
    <definedName name="FTESTZ_26">#REF!</definedName>
    <definedName name="FTESTZ_36">#REF!</definedName>
    <definedName name="FTESTZ_8">#REF!</definedName>
    <definedName name="GR">#REF!</definedName>
    <definedName name="GR_26">#REF!</definedName>
    <definedName name="GR_36">#REF!</definedName>
    <definedName name="GR_8">#REF!</definedName>
    <definedName name="GRZ">#REF!</definedName>
    <definedName name="GRZ_26">#REF!</definedName>
    <definedName name="GRZ_36">#REF!</definedName>
    <definedName name="GRZ_8">#REF!</definedName>
    <definedName name="HAG">#REF!</definedName>
    <definedName name="HAG_26">#REF!</definedName>
    <definedName name="HAG_36">#REF!</definedName>
    <definedName name="HAG_8">#REF!</definedName>
    <definedName name="HAGZ">#REF!</definedName>
    <definedName name="HAGZ_26">#REF!</definedName>
    <definedName name="HAGZ_36">#REF!</definedName>
    <definedName name="HAGZ_8">#REF!</definedName>
    <definedName name="HAM">#REF!</definedName>
    <definedName name="HAM_26">#REF!</definedName>
    <definedName name="HAM_36">#REF!</definedName>
    <definedName name="HAM_8">#REF!</definedName>
    <definedName name="HAMZ">#REF!</definedName>
    <definedName name="HAMZ_26">#REF!</definedName>
    <definedName name="HAMZ_36">#REF!</definedName>
    <definedName name="HAMZ_8">#REF!</definedName>
    <definedName name="HOME">[15]WDGSPEC!$A$1</definedName>
    <definedName name="HTEST">#REF!</definedName>
    <definedName name="HTEST_26">#REF!</definedName>
    <definedName name="HTEST_36">#REF!</definedName>
    <definedName name="HTEST_8">#REF!</definedName>
    <definedName name="HTESTZ">#REF!</definedName>
    <definedName name="HTESTZ_26">#REF!</definedName>
    <definedName name="HTESTZ_36">#REF!</definedName>
    <definedName name="HTESTZ_8">#REF!</definedName>
    <definedName name="INS">#REF!</definedName>
    <definedName name="INS_26">#REF!</definedName>
    <definedName name="INS_36">#REF!</definedName>
    <definedName name="INS_8">#REF!</definedName>
    <definedName name="INSZ">#REF!</definedName>
    <definedName name="INSZ_26">#REF!</definedName>
    <definedName name="INSZ_36">#REF!</definedName>
    <definedName name="INSZ_8">#REF!</definedName>
    <definedName name="L_26">#REF!</definedName>
    <definedName name="L_36">#REF!</definedName>
    <definedName name="L_8">#REF!</definedName>
    <definedName name="LABOR">#REF!</definedName>
    <definedName name="LABOR_26">#REF!</definedName>
    <definedName name="LABOR_36">#REF!</definedName>
    <definedName name="LABOR_8">#REF!</definedName>
    <definedName name="LC">#REF!</definedName>
    <definedName name="LC_26">#REF!</definedName>
    <definedName name="LC_36">#REF!</definedName>
    <definedName name="LC_8">#REF!</definedName>
    <definedName name="LCZ">#REF!</definedName>
    <definedName name="LCZ_26">#REF!</definedName>
    <definedName name="LCZ_36">#REF!</definedName>
    <definedName name="LCZ_8">#REF!</definedName>
    <definedName name="LWZ">#REF!</definedName>
    <definedName name="LWZ_26">#REF!</definedName>
    <definedName name="LWZ_36">#REF!</definedName>
    <definedName name="LWZ_8">#REF!</definedName>
    <definedName name="LZ">#REF!</definedName>
    <definedName name="LZ_26">#REF!</definedName>
    <definedName name="LZ_36">#REF!</definedName>
    <definedName name="LZ_8">#REF!</definedName>
    <definedName name="MH">#REF!</definedName>
    <definedName name="MH_26">#REF!</definedName>
    <definedName name="MH_36">#REF!</definedName>
    <definedName name="MH_8">#REF!</definedName>
    <definedName name="MHZ">#REF!</definedName>
    <definedName name="MHZ_26">#REF!</definedName>
    <definedName name="MHZ_36">#REF!</definedName>
    <definedName name="MHZ_8">#REF!</definedName>
    <definedName name="MR">#REF!</definedName>
    <definedName name="MR_26">#REF!</definedName>
    <definedName name="MR_36">#REF!</definedName>
    <definedName name="MR_8">#REF!</definedName>
    <definedName name="MRZ">#REF!</definedName>
    <definedName name="MRZ_26">#REF!</definedName>
    <definedName name="MRZ_36">#REF!</definedName>
    <definedName name="MRZ_8">#REF!</definedName>
    <definedName name="of_Pwb_panel">#REF!</definedName>
    <definedName name="of_Pwb_panel_26">#REF!</definedName>
    <definedName name="of_Pwb_panel_36">#REF!</definedName>
    <definedName name="of_Pwb_panel_8">#REF!</definedName>
    <definedName name="OLE_LINK1_22">[17]Re_lamping!$B$12</definedName>
    <definedName name="OLE_LINK1_23">'[17]Aux Power'!#REF!</definedName>
    <definedName name="PI">#REF!</definedName>
    <definedName name="PI_26">#REF!</definedName>
    <definedName name="PI_36">#REF!</definedName>
    <definedName name="PI_8">#REF!</definedName>
    <definedName name="PIZ">#REF!</definedName>
    <definedName name="PIZ_26">#REF!</definedName>
    <definedName name="PIZ_36">#REF!</definedName>
    <definedName name="PIZ_8">#REF!</definedName>
    <definedName name="POTR">#REF!</definedName>
    <definedName name="POTR_26">#REF!</definedName>
    <definedName name="POTR_36">#REF!</definedName>
    <definedName name="POTR_8">#REF!</definedName>
    <definedName name="POTRZ">#REF!</definedName>
    <definedName name="POTRZ_26">#REF!</definedName>
    <definedName name="POTRZ_36">#REF!</definedName>
    <definedName name="POTRZ_8">#REF!</definedName>
    <definedName name="PRI_ACR">[15]LOSSTMP1!$AA$1:$AH$25</definedName>
    <definedName name="PRINT_AREA_MI">[15]BFORMULA!$A$1:$G$40</definedName>
    <definedName name="PWBR">#REF!</definedName>
    <definedName name="PWBR_26">#REF!</definedName>
    <definedName name="PWBR_36">#REF!</definedName>
    <definedName name="PWBR_8">#REF!</definedName>
    <definedName name="PWBRZ">#REF!</definedName>
    <definedName name="PWBRZ_26">#REF!</definedName>
    <definedName name="PWBRZ_36">#REF!</definedName>
    <definedName name="PWBRZ_8">#REF!</definedName>
    <definedName name="RATE">#REF!</definedName>
    <definedName name="RATE_26">#REF!</definedName>
    <definedName name="RATE_36">#REF!</definedName>
    <definedName name="RATE_8">#REF!</definedName>
    <definedName name="SEC_ACR">[15]LOSSTMP1!$AA$49:$AH$74</definedName>
    <definedName name="SET">#REF!</definedName>
    <definedName name="SFT">#REF!</definedName>
    <definedName name="SFT_26">#REF!</definedName>
    <definedName name="SFT_36">#REF!</definedName>
    <definedName name="SFT_8">#REF!</definedName>
    <definedName name="SFTZ">#REF!</definedName>
    <definedName name="SFTZ_26">#REF!</definedName>
    <definedName name="SFTZ_36">#REF!</definedName>
    <definedName name="SFTZ_8">#REF!</definedName>
    <definedName name="SMC">#REF!</definedName>
    <definedName name="SMC_26">#REF!</definedName>
    <definedName name="SMC_36">#REF!</definedName>
    <definedName name="SMC_8">#REF!</definedName>
    <definedName name="SMCC">#REF!</definedName>
    <definedName name="SMCC_26">#REF!</definedName>
    <definedName name="SMCC_36">#REF!</definedName>
    <definedName name="SMCC_8">#REF!</definedName>
    <definedName name="SMT">#REF!</definedName>
    <definedName name="SMT_26">#REF!</definedName>
    <definedName name="SMT_36">#REF!</definedName>
    <definedName name="SMT_8">#REF!</definedName>
    <definedName name="SMTZ">#REF!</definedName>
    <definedName name="SMTZ_26">#REF!</definedName>
    <definedName name="SMTZ_36">#REF!</definedName>
    <definedName name="SMTZ_8">#REF!</definedName>
    <definedName name="SP">#REF!</definedName>
    <definedName name="SP_26">#REF!</definedName>
    <definedName name="SP_36">#REF!</definedName>
    <definedName name="SP_8">#REF!</definedName>
    <definedName name="SPZ">#REF!</definedName>
    <definedName name="SPZ_26">#REF!</definedName>
    <definedName name="SPZ_36">#REF!</definedName>
    <definedName name="SPZ_8">#REF!</definedName>
    <definedName name="SUM">[18]B.O.M!#REF!</definedName>
    <definedName name="SUM_26">#REF!</definedName>
    <definedName name="SUM_36">#REF!</definedName>
    <definedName name="SUM_8">#REF!</definedName>
    <definedName name="TABLE">#REF!</definedName>
    <definedName name="TABLE_26">#REF!</definedName>
    <definedName name="TABLE_36">#REF!</definedName>
    <definedName name="TABLE_8">#REF!</definedName>
    <definedName name="TAPE">[15]WDGSPEC!$A$1117:$B$1127</definedName>
    <definedName name="TL">#REF!</definedName>
    <definedName name="TL_26">#REF!</definedName>
    <definedName name="TL_36">#REF!</definedName>
    <definedName name="TL_8">#REF!</definedName>
    <definedName name="TLZ">#REF!</definedName>
    <definedName name="TLZ_26">#REF!</definedName>
    <definedName name="TLZ_36">#REF!</definedName>
    <definedName name="TLZ_8">#REF!</definedName>
    <definedName name="V_26">#REF!</definedName>
    <definedName name="V_36">#REF!</definedName>
    <definedName name="V_8">#REF!</definedName>
    <definedName name="VA">#REF!</definedName>
    <definedName name="VA_26">#REF!</definedName>
    <definedName name="VA_36">#REF!</definedName>
    <definedName name="VA_8">#REF!</definedName>
    <definedName name="Wire_Size">[15]INDUCTANCE!$C$161:$D$197</definedName>
    <definedName name="YTA">#REF!</definedName>
    <definedName name="YTA_26">#REF!</definedName>
    <definedName name="YTA_36">#REF!</definedName>
    <definedName name="YTA_8">#REF!</definedName>
    <definedName name="_1.1.13">#REF!</definedName>
    <definedName name="电气性能2700K">#REF!</definedName>
    <definedName name="aaaa" hidden="1">{"'Sheet1'!$A$1:$S$34"}</definedName>
    <definedName name="aaaaaaa" hidden="1">{"'Sheet1'!$A$1:$S$34"}</definedName>
    <definedName name="as" hidden="1">{"'Sheet1'!$A$1:$S$34"}</definedName>
    <definedName name="DDDDDDDDDD" hidden="1">{"'Sheet1'!$A$1:$S$34"}</definedName>
    <definedName name="e" hidden="1">{"'Sheet1'!$A$1:$S$34"}</definedName>
    <definedName name="fv" hidden="1">{"'Sheet1'!$A$1:$S$34"}</definedName>
    <definedName name="fvv" hidden="1">{"'Sheet1'!$A$1:$S$34"}</definedName>
    <definedName name="HTML_CodePage" hidden="1">1252</definedName>
    <definedName name="HTML_Control" hidden="1">{"'Sheet1'!$A$1:$S$34"}</definedName>
    <definedName name="HTML_Description" hidden="1">""</definedName>
    <definedName name="HTML_Email" hidden="1">""</definedName>
    <definedName name="HTML_Header" hidden="1">"GE Lighting Finished Product Sourcing"</definedName>
    <definedName name="HTML_LastUpdate" hidden="1">"12-Dec-99"</definedName>
    <definedName name="HTML_LineAfter" hidden="1">FALSE</definedName>
    <definedName name="HTML_LineBefore" hidden="1">FALSE</definedName>
    <definedName name="HTML_Name" hidden="1">"Miklos Kadas"</definedName>
    <definedName name="HTML_OBDlg2" hidden="1">TRUE</definedName>
    <definedName name="HTML_OBDlg4" hidden="1">TRUE</definedName>
    <definedName name="HTML_OS" hidden="1">0</definedName>
    <definedName name="HTML_PathFile" hidden="1">"C:\My Documents\Global Quality\FPS Materials\Kadas\COC.htm"</definedName>
    <definedName name="HTML_Title" hidden="1">"LOT Certificate of Conformance 3"</definedName>
    <definedName name="jjjj" hidden="1">{"'Sheet1'!$A$1:$S$34"}</definedName>
    <definedName name="PartsList" hidden="1">{"'Sheet1'!$A$1:$S$34"}</definedName>
    <definedName name="ss" hidden="1">{"'Sheet1'!$A$1:$S$34"}</definedName>
    <definedName name="Wr" hidden="1">{"'Sheet1'!$A$1:$S$34"}</definedName>
    <definedName name="XIEWE" hidden="1">{"'Sheet1'!$A$1:$S$34"}</definedName>
    <definedName name="あ" hidden="1">{"'Sheet1'!$A$1:$S$34"}</definedName>
    <definedName name="ああ" hidden="1">{"'Sheet1'!$A$1:$S$34"}</definedName>
    <definedName name="い" hidden="1">{"'Sheet1'!$A$1:$S$34"}</definedName>
    <definedName name="ふぁ" hidden="1">{"'Sheet1'!$A$1:$S$34"}</definedName>
    <definedName name="フォーミング" hidden="1">{"'Sheet1'!$A$1:$S$34"}</definedName>
    <definedName name="个g" hidden="1">{"'Sheet1'!$A$1:$S$34"}</definedName>
    <definedName name="横回路図" hidden="1">{"'Sheet1'!$A$1:$S$34"}</definedName>
    <definedName name="振铃波06">#REF!</definedName>
    <definedName name="turn">'[19]Validation Plan'!$D$12</definedName>
    <definedName name="KSC76532021">#REF!</definedName>
    <definedName name="_78">#REF!</definedName>
    <definedName name="ad">#REF!</definedName>
    <definedName name="rt">#REF!</definedName>
    <definedName name="ＳＴＤ距離">#REF!</definedName>
    <definedName name="サンプル距離">#REF!</definedName>
    <definedName name="_xlcn.WorksheetConnection_TransferorGeneralAP1" hidden="1">'[20]Transferor General'!$A:$P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<sst xmlns="http://schemas.openxmlformats.org/spreadsheetml/2006/main" count="199" uniqueCount="71">
  <si>
    <t>横店集团得邦照明股份有限公司检测中心</t>
  </si>
  <si>
    <t>Hengdian Group Tospo Lighting CO., LTD.'Test Center</t>
  </si>
  <si>
    <t>编号：DBTC/JY-JL/BG-14/40</t>
  </si>
  <si>
    <t>元器件V-I检测报告</t>
  </si>
  <si>
    <t>型号规格</t>
  </si>
  <si>
    <t>样品数量</t>
  </si>
  <si>
    <t>检测条件</t>
  </si>
  <si>
    <t>电压/频率</t>
  </si>
  <si>
    <t>产品寿命(h)</t>
  </si>
  <si>
    <t>位号</t>
  </si>
  <si>
    <t>类型</t>
  </si>
  <si>
    <t>型号</t>
  </si>
  <si>
    <t>SPEC</t>
  </si>
  <si>
    <t>启动状态</t>
  </si>
  <si>
    <t>稳定状态</t>
  </si>
  <si>
    <t>判定</t>
  </si>
  <si>
    <t>温度降额</t>
  </si>
  <si>
    <t>Vmax
(V)</t>
  </si>
  <si>
    <t>降额度(%)瞬态</t>
  </si>
  <si>
    <t>降额度(%)稳态</t>
  </si>
  <si>
    <t>Vrms
(V)</t>
  </si>
  <si>
    <t>负荷度</t>
  </si>
  <si>
    <t>C5</t>
  </si>
  <si>
    <t>陶瓷电容</t>
  </si>
  <si>
    <t>/</t>
  </si>
  <si>
    <t>C6</t>
  </si>
  <si>
    <t>瓷片引线电容</t>
  </si>
  <si>
    <t>C3</t>
  </si>
  <si>
    <t>安规电容</t>
  </si>
  <si>
    <t>C4</t>
  </si>
  <si>
    <t>薄膜电容(普通电路)</t>
  </si>
  <si>
    <t>薄膜电容(谐振电路)</t>
  </si>
  <si>
    <t>C1</t>
  </si>
  <si>
    <t>电解电容</t>
  </si>
  <si>
    <t>DS1</t>
  </si>
  <si>
    <t>肖特基二极管</t>
  </si>
  <si>
    <t>DS2</t>
  </si>
  <si>
    <t>普通硅二极管(光阻)</t>
  </si>
  <si>
    <t>DS3</t>
  </si>
  <si>
    <t>普通硅二极管(刀刮)</t>
  </si>
  <si>
    <t>DB1</t>
  </si>
  <si>
    <t>整流桥(光阻)</t>
  </si>
  <si>
    <t>DB2</t>
  </si>
  <si>
    <t>整流桥(刀刮)</t>
  </si>
  <si>
    <t>U1</t>
  </si>
  <si>
    <t>Vcc</t>
  </si>
  <si>
    <t>＜VCC＜</t>
  </si>
  <si>
    <t>Q1</t>
  </si>
  <si>
    <t>Vds</t>
  </si>
  <si>
    <t>Vgs</t>
  </si>
  <si>
    <t>Vth=</t>
  </si>
  <si>
    <t>Q3</t>
  </si>
  <si>
    <t>Vce</t>
  </si>
  <si>
    <t xml:space="preserve">SPEC
 </t>
  </si>
  <si>
    <t xml:space="preserve">稳定状态
</t>
  </si>
  <si>
    <t>Vmax(V)</t>
  </si>
  <si>
    <t>降额度(%)稳态峰值</t>
  </si>
  <si>
    <t xml:space="preserve">Ppk(W)        </t>
  </si>
  <si>
    <t>降额度(%)稳态峰值功耗</t>
  </si>
  <si>
    <t xml:space="preserve">Prms(W)        </t>
  </si>
  <si>
    <t>降额度(%)稳态有效值</t>
  </si>
  <si>
    <t>Ppk(W)</t>
  </si>
  <si>
    <t xml:space="preserve">Prms(W) </t>
  </si>
  <si>
    <t>FR1</t>
  </si>
  <si>
    <t>保险电阻</t>
  </si>
  <si>
    <t>RS2</t>
  </si>
  <si>
    <t>贴片电阻</t>
  </si>
  <si>
    <t>RS3</t>
  </si>
  <si>
    <t>插件电阻</t>
  </si>
  <si>
    <t>检测结论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</si>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</sst>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_ "/>
    <numFmt numFmtId="179" formatCode="0.0000"/>
    <numFmt numFmtId="180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</font>
    <font>
      <sz val="12"/>
      <name val="宋体"/>
      <charset val="134"/>
      <scheme val="minor"/>
    </font>
    <font>
      <b/>
      <sz val="22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9"/>
      <color indexed="12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8" borderId="19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/>
    <xf numFmtId="17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50">
      <alignment vertical="center"/>
    </xf>
    <xf numFmtId="0" fontId="1" fillId="0" borderId="0" xfId="51">
      <alignment vertical="center"/>
    </xf>
    <xf numFmtId="0" fontId="1" fillId="0" borderId="0" xfId="52">
      <alignment vertical="center"/>
    </xf>
    <xf numFmtId="0" fontId="1" fillId="0" borderId="0" xfId="49">
      <alignment vertical="center"/>
    </xf>
    <xf numFmtId="49" fontId="1" fillId="0" borderId="0" xfId="49" applyNumberFormat="1">
      <alignment vertical="center"/>
    </xf>
    <xf numFmtId="49" fontId="1" fillId="0" borderId="0" xfId="49" applyNumberFormat="1" applyAlignment="1">
      <alignment horizontal="center"/>
    </xf>
    <xf numFmtId="0" fontId="1" fillId="0" borderId="0" xfId="49" applyAlignment="1">
      <alignment horizontal="center" vertical="center"/>
    </xf>
    <xf numFmtId="0" fontId="2" fillId="0" borderId="0" xfId="53" applyFont="1" applyAlignment="1">
      <alignment horizontal="center" vertical="center"/>
    </xf>
    <xf numFmtId="0" fontId="3" fillId="0" borderId="0" xfId="53" applyFont="1" applyAlignment="1">
      <alignment horizontal="center" vertical="center"/>
    </xf>
    <xf numFmtId="49" fontId="1" fillId="0" borderId="1" xfId="54" applyNumberFormat="1" applyBorder="1" applyAlignment="1">
      <alignment horizontal="right" vertical="center"/>
    </xf>
    <xf numFmtId="49" fontId="1" fillId="0" borderId="1" xfId="54" applyNumberFormat="1" applyBorder="1" applyAlignment="1">
      <alignment horizontal="center" vertical="center"/>
    </xf>
    <xf numFmtId="0" fontId="4" fillId="0" borderId="0" xfId="54" applyFont="1" applyAlignment="1">
      <alignment horizontal="center" vertical="center"/>
    </xf>
    <xf numFmtId="0" fontId="1" fillId="0" borderId="1" xfId="55" applyBorder="1" applyAlignment="1">
      <alignment horizontal="left" vertical="center"/>
    </xf>
    <xf numFmtId="0" fontId="0" fillId="0" borderId="1" xfId="55" applyFont="1" applyBorder="1" applyAlignment="1">
      <alignment horizontal="left" vertical="center"/>
    </xf>
    <xf numFmtId="49" fontId="0" fillId="0" borderId="1" xfId="55" applyNumberFormat="1" applyFont="1" applyBorder="1">
      <alignment vertical="center"/>
    </xf>
    <xf numFmtId="0" fontId="5" fillId="0" borderId="1" xfId="56" applyFont="1" applyBorder="1" applyAlignment="1">
      <alignment wrapText="1"/>
    </xf>
    <xf numFmtId="0" fontId="5" fillId="0" borderId="1" xfId="57" applyFont="1" applyBorder="1" applyAlignment="1">
      <alignment wrapText="1"/>
    </xf>
    <xf numFmtId="0" fontId="5" fillId="0" borderId="0" xfId="53" applyFont="1" applyAlignment="1">
      <alignment horizontal="right" vertical="center"/>
    </xf>
    <xf numFmtId="0" fontId="6" fillId="0" borderId="0" xfId="53" applyFont="1" applyAlignment="1">
      <alignment horizontal="center" vertical="center"/>
    </xf>
    <xf numFmtId="0" fontId="1" fillId="0" borderId="0" xfId="58">
      <alignment vertical="center"/>
    </xf>
    <xf numFmtId="0" fontId="1" fillId="0" borderId="0" xfId="58" applyAlignment="1">
      <alignment horizontal="center" vertical="center"/>
    </xf>
    <xf numFmtId="0" fontId="7" fillId="0" borderId="2" xfId="56" applyFont="1" applyBorder="1" applyAlignment="1">
      <alignment horizontal="center" vertical="center"/>
    </xf>
    <xf numFmtId="0" fontId="7" fillId="0" borderId="3" xfId="56" applyFont="1" applyBorder="1" applyAlignment="1">
      <alignment horizontal="center" vertical="center" wrapText="1"/>
    </xf>
    <xf numFmtId="0" fontId="7" fillId="0" borderId="4" xfId="56" applyFont="1" applyBorder="1" applyAlignment="1">
      <alignment horizontal="center" vertical="center"/>
    </xf>
    <xf numFmtId="0" fontId="7" fillId="0" borderId="3" xfId="56" applyFont="1" applyBorder="1" applyAlignment="1">
      <alignment horizontal="center" vertical="center"/>
    </xf>
    <xf numFmtId="0" fontId="7" fillId="0" borderId="5" xfId="56" applyFont="1" applyBorder="1" applyAlignment="1">
      <alignment horizontal="center" vertical="center"/>
    </xf>
    <xf numFmtId="0" fontId="1" fillId="0" borderId="6" xfId="49" applyBorder="1" applyAlignment="1">
      <alignment horizontal="center" vertical="center"/>
    </xf>
    <xf numFmtId="0" fontId="7" fillId="0" borderId="2" xfId="59" applyFont="1" applyBorder="1" applyAlignment="1">
      <alignment horizontal="center" vertical="center"/>
    </xf>
    <xf numFmtId="0" fontId="7" fillId="0" borderId="7" xfId="59" applyFont="1" applyBorder="1" applyAlignment="1">
      <alignment horizontal="center" vertical="center"/>
    </xf>
    <xf numFmtId="0" fontId="7" fillId="0" borderId="8" xfId="59" applyFont="1" applyBorder="1" applyAlignment="1">
      <alignment horizontal="center" vertical="center"/>
    </xf>
    <xf numFmtId="0" fontId="1" fillId="0" borderId="2" xfId="51" applyBorder="1" applyAlignment="1">
      <alignment horizontal="center" vertical="center"/>
    </xf>
    <xf numFmtId="177" fontId="7" fillId="0" borderId="2" xfId="59" applyNumberFormat="1" applyFont="1" applyBorder="1" applyAlignment="1">
      <alignment horizontal="center" vertical="center"/>
    </xf>
    <xf numFmtId="0" fontId="8" fillId="0" borderId="2" xfId="60" applyFont="1" applyBorder="1" applyAlignment="1">
      <alignment horizontal="center" vertical="center"/>
    </xf>
    <xf numFmtId="0" fontId="8" fillId="0" borderId="7" xfId="60" applyFont="1" applyBorder="1" applyAlignment="1">
      <alignment horizontal="center" vertical="center"/>
    </xf>
    <xf numFmtId="0" fontId="8" fillId="0" borderId="9" xfId="60" applyFont="1" applyBorder="1" applyAlignment="1">
      <alignment horizontal="center" vertical="center"/>
    </xf>
    <xf numFmtId="0" fontId="8" fillId="0" borderId="10" xfId="52" applyFont="1" applyBorder="1" applyAlignment="1">
      <alignment horizontal="center" vertical="center" wrapText="1"/>
    </xf>
    <xf numFmtId="0" fontId="8" fillId="0" borderId="2" xfId="52" applyFont="1" applyBorder="1" applyAlignment="1">
      <alignment horizontal="center" vertical="center" wrapText="1"/>
    </xf>
    <xf numFmtId="0" fontId="8" fillId="2" borderId="2" xfId="51" applyFont="1" applyFill="1" applyBorder="1" applyAlignment="1" applyProtection="1">
      <alignment horizontal="center" vertical="center" wrapText="1"/>
      <protection locked="0"/>
    </xf>
    <xf numFmtId="0" fontId="8" fillId="3" borderId="2" xfId="51" applyFont="1" applyFill="1" applyBorder="1" applyAlignment="1" applyProtection="1">
      <alignment horizontal="center" vertical="center" wrapText="1"/>
      <protection locked="0"/>
    </xf>
    <xf numFmtId="0" fontId="8" fillId="2" borderId="4" xfId="51" applyFont="1" applyFill="1" applyBorder="1" applyAlignment="1" applyProtection="1">
      <alignment horizontal="center" vertical="center" wrapText="1"/>
      <protection locked="0"/>
    </xf>
    <xf numFmtId="0" fontId="8" fillId="2" borderId="5" xfId="51" applyFont="1" applyFill="1" applyBorder="1" applyAlignment="1" applyProtection="1">
      <alignment horizontal="center" vertical="center" wrapText="1"/>
      <protection locked="0"/>
    </xf>
    <xf numFmtId="0" fontId="8" fillId="0" borderId="6" xfId="60" applyFont="1" applyBorder="1" applyAlignment="1">
      <alignment horizontal="center" vertical="center" wrapText="1"/>
    </xf>
    <xf numFmtId="0" fontId="8" fillId="2" borderId="6" xfId="51" applyFont="1" applyFill="1" applyBorder="1" applyAlignment="1" applyProtection="1">
      <alignment horizontal="center" vertical="center" wrapText="1"/>
      <protection locked="0"/>
    </xf>
    <xf numFmtId="0" fontId="8" fillId="2" borderId="10" xfId="51" applyFont="1" applyFill="1" applyBorder="1" applyAlignment="1" applyProtection="1">
      <alignment horizontal="center" vertical="center" wrapText="1"/>
      <protection locked="0"/>
    </xf>
    <xf numFmtId="0" fontId="8" fillId="2" borderId="11" xfId="51" applyFont="1" applyFill="1" applyBorder="1" applyAlignment="1" applyProtection="1">
      <alignment horizontal="center" vertical="center" wrapText="1"/>
      <protection locked="0"/>
    </xf>
    <xf numFmtId="0" fontId="8" fillId="2" borderId="12" xfId="51" applyFont="1" applyFill="1" applyBorder="1" applyAlignment="1" applyProtection="1">
      <alignment horizontal="center" vertical="center" wrapText="1"/>
      <protection locked="0"/>
    </xf>
    <xf numFmtId="0" fontId="8" fillId="2" borderId="13" xfId="51" applyFont="1" applyFill="1" applyBorder="1" applyAlignment="1" applyProtection="1">
      <alignment horizontal="center" vertical="center" wrapText="1"/>
      <protection locked="0"/>
    </xf>
    <xf numFmtId="0" fontId="8" fillId="0" borderId="14" xfId="60" applyFont="1" applyBorder="1" applyAlignment="1">
      <alignment horizontal="center" vertical="center" wrapText="1"/>
    </xf>
    <xf numFmtId="0" fontId="8" fillId="2" borderId="14" xfId="51" applyFont="1" applyFill="1" applyBorder="1" applyAlignment="1" applyProtection="1">
      <alignment horizontal="center" vertical="center" wrapText="1"/>
      <protection locked="0"/>
    </xf>
    <xf numFmtId="0" fontId="8" fillId="0" borderId="14" xfId="52" applyFont="1" applyBorder="1" applyAlignment="1">
      <alignment horizontal="center" vertical="center" wrapText="1"/>
    </xf>
    <xf numFmtId="0" fontId="9" fillId="4" borderId="15" xfId="51" applyFont="1" applyFill="1" applyBorder="1" applyAlignment="1">
      <alignment horizontal="center" vertical="center" wrapText="1"/>
    </xf>
    <xf numFmtId="0" fontId="9" fillId="0" borderId="2" xfId="51" applyFont="1" applyFill="1" applyBorder="1" applyAlignment="1">
      <alignment horizontal="center" vertical="center" wrapText="1"/>
    </xf>
    <xf numFmtId="0" fontId="9" fillId="0" borderId="2" xfId="61" applyFont="1" applyBorder="1" applyAlignment="1">
      <alignment horizontal="center" vertical="center" wrapText="1"/>
    </xf>
    <xf numFmtId="9" fontId="8" fillId="0" borderId="2" xfId="3" applyFont="1" applyBorder="1" applyAlignment="1" applyProtection="1">
      <alignment horizontal="center" vertical="center" wrapText="1"/>
    </xf>
    <xf numFmtId="0" fontId="8" fillId="0" borderId="2" xfId="61" applyFont="1" applyFill="1" applyBorder="1" applyAlignment="1">
      <alignment horizontal="center" vertical="center" wrapText="1"/>
    </xf>
    <xf numFmtId="9" fontId="8" fillId="0" borderId="2" xfId="3" applyFont="1" applyFill="1" applyBorder="1" applyAlignment="1" applyProtection="1">
      <alignment horizontal="center" vertical="center" wrapText="1"/>
    </xf>
    <xf numFmtId="0" fontId="8" fillId="5" borderId="2" xfId="61" applyFont="1" applyFill="1" applyBorder="1" applyAlignment="1">
      <alignment horizontal="center" vertical="center" wrapText="1"/>
    </xf>
    <xf numFmtId="178" fontId="8" fillId="0" borderId="2" xfId="51" applyNumberFormat="1" applyFont="1" applyBorder="1" applyAlignment="1">
      <alignment horizontal="center" vertical="center" wrapText="1"/>
    </xf>
    <xf numFmtId="178" fontId="8" fillId="0" borderId="7" xfId="51" applyNumberFormat="1" applyFont="1" applyBorder="1" applyAlignment="1">
      <alignment horizontal="center" vertical="center" wrapText="1"/>
    </xf>
    <xf numFmtId="178" fontId="8" fillId="0" borderId="8" xfId="51" applyNumberFormat="1" applyFont="1" applyBorder="1" applyAlignment="1">
      <alignment horizontal="center" vertical="center" wrapText="1"/>
    </xf>
    <xf numFmtId="0" fontId="8" fillId="0" borderId="2" xfId="61" applyFont="1" applyBorder="1" applyAlignment="1">
      <alignment horizontal="center" vertical="center" wrapText="1"/>
    </xf>
    <xf numFmtId="0" fontId="9" fillId="0" borderId="2" xfId="51" applyFont="1" applyBorder="1" applyAlignment="1">
      <alignment horizontal="center" vertical="center" wrapText="1"/>
    </xf>
    <xf numFmtId="9" fontId="8" fillId="0" borderId="6" xfId="3" applyFont="1" applyBorder="1" applyAlignment="1" applyProtection="1">
      <alignment horizontal="center" vertical="center" wrapText="1"/>
    </xf>
    <xf numFmtId="0" fontId="8" fillId="4" borderId="2" xfId="61" applyFont="1" applyFill="1" applyBorder="1" applyAlignment="1">
      <alignment horizontal="center" vertical="center" wrapText="1"/>
    </xf>
    <xf numFmtId="0" fontId="8" fillId="4" borderId="0" xfId="66" applyFont="1" applyFill="1" applyAlignment="1">
      <alignment horizontal="center" vertical="center" wrapText="1"/>
    </xf>
    <xf numFmtId="0" fontId="9" fillId="4" borderId="2" xfId="51" applyFont="1" applyFill="1" applyBorder="1" applyAlignment="1">
      <alignment horizontal="center" vertical="center" wrapText="1"/>
    </xf>
    <xf numFmtId="176" fontId="8" fillId="5" borderId="2" xfId="61" applyNumberFormat="1" applyFont="1" applyFill="1" applyBorder="1" applyAlignment="1">
      <alignment horizontal="center" vertical="center" wrapText="1"/>
    </xf>
    <xf numFmtId="0" fontId="8" fillId="5" borderId="6" xfId="61" applyFont="1" applyFill="1" applyBorder="1" applyAlignment="1">
      <alignment horizontal="center" vertical="center" wrapText="1"/>
    </xf>
    <xf numFmtId="177" fontId="8" fillId="4" borderId="0" xfId="66" applyNumberFormat="1" applyFont="1" applyFill="1" applyAlignment="1">
      <alignment horizontal="center" vertical="center" wrapText="1"/>
    </xf>
    <xf numFmtId="0" fontId="8" fillId="0" borderId="15" xfId="60" applyFont="1" applyBorder="1" applyAlignment="1">
      <alignment horizontal="center" vertical="center"/>
    </xf>
    <xf numFmtId="0" fontId="8" fillId="0" borderId="1" xfId="60" applyFont="1" applyBorder="1" applyAlignment="1">
      <alignment horizontal="center" vertical="center"/>
    </xf>
    <xf numFmtId="0" fontId="8" fillId="3" borderId="14" xfId="51" applyFont="1" applyFill="1" applyBorder="1" applyAlignment="1" applyProtection="1">
      <alignment horizontal="center" vertical="center" wrapText="1"/>
      <protection locked="0"/>
    </xf>
    <xf numFmtId="0" fontId="8" fillId="3" borderId="12" xfId="51" applyFont="1" applyFill="1" applyBorder="1" applyAlignment="1" applyProtection="1">
      <alignment horizontal="center" vertical="center" wrapText="1"/>
      <protection locked="0"/>
    </xf>
    <xf numFmtId="0" fontId="8" fillId="2" borderId="7" xfId="51" applyFont="1" applyFill="1" applyBorder="1" applyAlignment="1" applyProtection="1">
      <alignment horizontal="center" vertical="center" wrapText="1"/>
      <protection locked="0"/>
    </xf>
    <xf numFmtId="0" fontId="8" fillId="0" borderId="2" xfId="60" applyFont="1" applyBorder="1" applyAlignment="1">
      <alignment horizontal="center" vertical="center" wrapText="1"/>
    </xf>
    <xf numFmtId="0" fontId="10" fillId="0" borderId="2" xfId="51" applyFont="1" applyBorder="1" applyAlignment="1">
      <alignment horizontal="center" vertical="center" wrapText="1"/>
    </xf>
    <xf numFmtId="178" fontId="8" fillId="0" borderId="2" xfId="62" applyNumberFormat="1" applyFont="1" applyBorder="1" applyAlignment="1">
      <alignment horizontal="center" vertical="center" wrapText="1"/>
    </xf>
    <xf numFmtId="9" fontId="8" fillId="0" borderId="7" xfId="51" applyNumberFormat="1" applyFont="1" applyBorder="1" applyAlignment="1">
      <alignment horizontal="center" vertical="center" wrapText="1"/>
    </xf>
    <xf numFmtId="0" fontId="9" fillId="0" borderId="7" xfId="61" applyFont="1" applyBorder="1" applyAlignment="1">
      <alignment horizontal="center" vertical="center" wrapText="1"/>
    </xf>
    <xf numFmtId="0" fontId="9" fillId="0" borderId="8" xfId="61" applyFont="1" applyBorder="1" applyAlignment="1">
      <alignment horizontal="center" vertical="center" wrapText="1"/>
    </xf>
    <xf numFmtId="179" fontId="8" fillId="0" borderId="2" xfId="62" applyNumberFormat="1" applyFont="1" applyBorder="1" applyAlignment="1">
      <alignment horizontal="center" vertical="center" wrapText="1"/>
    </xf>
    <xf numFmtId="179" fontId="8" fillId="5" borderId="2" xfId="62" applyNumberFormat="1" applyFont="1" applyFill="1" applyBorder="1" applyAlignment="1">
      <alignment horizontal="center" vertical="center" wrapText="1"/>
    </xf>
    <xf numFmtId="9" fontId="8" fillId="0" borderId="2" xfId="51" applyNumberFormat="1" applyFont="1" applyBorder="1" applyAlignment="1">
      <alignment horizontal="center" vertical="center" wrapText="1"/>
    </xf>
    <xf numFmtId="180" fontId="8" fillId="0" borderId="2" xfId="62" applyNumberFormat="1" applyFont="1" applyBorder="1" applyAlignment="1">
      <alignment horizontal="center" vertical="center" wrapText="1"/>
    </xf>
    <xf numFmtId="0" fontId="8" fillId="0" borderId="2" xfId="62" applyFont="1" applyBorder="1" applyAlignment="1">
      <alignment horizontal="center" vertical="center" wrapText="1"/>
    </xf>
    <xf numFmtId="0" fontId="9" fillId="0" borderId="6" xfId="51" applyFont="1" applyBorder="1" applyAlignment="1">
      <alignment horizontal="center" vertical="center" wrapText="1"/>
    </xf>
    <xf numFmtId="0" fontId="9" fillId="0" borderId="6" xfId="61" applyFont="1" applyBorder="1" applyAlignment="1">
      <alignment horizontal="center" vertical="center" wrapText="1"/>
    </xf>
    <xf numFmtId="180" fontId="8" fillId="0" borderId="6" xfId="62" applyNumberFormat="1" applyFont="1" applyBorder="1" applyAlignment="1">
      <alignment horizontal="center" vertical="center" wrapText="1"/>
    </xf>
    <xf numFmtId="0" fontId="8" fillId="0" borderId="6" xfId="62" applyFont="1" applyBorder="1" applyAlignment="1">
      <alignment horizontal="center" vertical="center" wrapText="1"/>
    </xf>
    <xf numFmtId="178" fontId="8" fillId="0" borderId="6" xfId="51" applyNumberFormat="1" applyFont="1" applyBorder="1" applyAlignment="1">
      <alignment horizontal="center" vertical="center" wrapText="1"/>
    </xf>
    <xf numFmtId="179" fontId="8" fillId="5" borderId="6" xfId="62" applyNumberFormat="1" applyFont="1" applyFill="1" applyBorder="1" applyAlignment="1">
      <alignment horizontal="center" vertical="center" wrapText="1"/>
    </xf>
    <xf numFmtId="0" fontId="7" fillId="0" borderId="15" xfId="51" applyFont="1" applyBorder="1" applyAlignment="1">
      <alignment horizontal="center" vertical="center" wrapText="1"/>
    </xf>
    <xf numFmtId="0" fontId="7" fillId="0" borderId="2" xfId="51" applyFont="1" applyBorder="1" applyAlignment="1">
      <alignment horizontal="center" vertical="center" wrapText="1"/>
    </xf>
    <xf numFmtId="0" fontId="7" fillId="0" borderId="2" xfId="61" applyFont="1" applyBorder="1" applyAlignment="1">
      <alignment horizontal="center" vertical="center" wrapText="1"/>
    </xf>
    <xf numFmtId="0" fontId="7" fillId="0" borderId="15" xfId="49" applyFont="1" applyBorder="1" applyAlignment="1">
      <alignment horizontal="center" vertical="center"/>
    </xf>
    <xf numFmtId="0" fontId="7" fillId="0" borderId="2" xfId="63" applyFont="1" applyBorder="1" applyAlignment="1">
      <alignment horizontal="center" vertical="center"/>
    </xf>
    <xf numFmtId="49" fontId="0" fillId="0" borderId="2" xfId="64" applyNumberFormat="1" applyFont="1" applyBorder="1" applyAlignment="1">
      <alignment horizontal="center" vertical="center" wrapText="1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ook1 (version 1) 2" xfId="49"/>
    <cellStyle name="常规_Book1 (version 1) 4" xfId="50"/>
    <cellStyle name="常规 10 2 2 2 2 3" xfId="51"/>
    <cellStyle name="常规 2 2 3 2 4" xfId="52"/>
    <cellStyle name="常规_样品单号20120110DJ009 路灯NRS821-B NRS827-B型式试验 2 2 2 2" xfId="53"/>
    <cellStyle name="常规_自镇流LED灯原始记录" xfId="54"/>
    <cellStyle name="常规_自镇流LED灯原始记录 2 2 2 2" xfId="55"/>
    <cellStyle name="常规_实验室检测报告格式最新 4 2" xfId="56"/>
    <cellStyle name="常规 9 2 4" xfId="57"/>
    <cellStyle name="常规_Book1 (version 1) 3 2 3" xfId="58"/>
    <cellStyle name="常规 10 20 2" xfId="59"/>
    <cellStyle name="常规 4 7" xfId="60"/>
    <cellStyle name="常规 4 8 2" xfId="61"/>
    <cellStyle name="常规 2 3 7" xfId="62"/>
    <cellStyle name="常规 10 3 2 2 2 3" xfId="63"/>
    <cellStyle name="常规_Book1 (version 1) 2 2" xfId="64"/>
    <cellStyle name="常规_Book1 (version 1)" xfId="65"/>
    <cellStyle name="常规 4 8" xfId="66"/>
  </cellStyles>
  <dxfs count="19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1</xdr:col>
      <xdr:colOff>655320</xdr:colOff>
      <xdr:row>1</xdr:row>
      <xdr:rowOff>188595</xdr:rowOff>
    </xdr:to>
    <xdr:pic>
      <xdr:nvPicPr>
        <xdr:cNvPr id="2" name="Picture 22" descr="rId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4775" y="28575"/>
          <a:ext cx="113157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28575</xdr:rowOff>
    </xdr:from>
    <xdr:to>
      <xdr:col>1</xdr:col>
      <xdr:colOff>655320</xdr:colOff>
      <xdr:row>1</xdr:row>
      <xdr:rowOff>188595</xdr:rowOff>
    </xdr:to>
    <xdr:pic>
      <xdr:nvPicPr>
        <xdr:cNvPr id="3" name="Picture 22" descr="rId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4775" y="28575"/>
          <a:ext cx="113157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RoadmapA00-Nov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PPM%20Data\PPM\CADIZPPM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Users\Administrator\Desktop\161V-I\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104\Users\admin\AppData\Local\Microsoft\Windows\INetCache\IE\6I0SZTSD\N18LEDDX104%202018.6.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Users\Administrator\Desktop\2017&#25253;&#21578;\N17LEDDX040-PH\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0005;&#24615;&#32452;&#25253;&#21578;&#25991;&#20214;\Users\Administrator\Desktop\UltraPlot%201.7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225;&#19994;&#24494;&#20449;&#20449;&#24687;\WXWork\1688857725339349\Cache\File\2026-02\P0049560%20P0050374%2022.5W%203500lm%20DLC%206.0_CTQ_V1.0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30005;&#24615;&#32452;&#25253;&#21578;&#25991;&#20214;\&#26041;&#38643;&#21880;\N23LEDDX069\VTM-PAR&#28783;%20N23LEDDX05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Users\Administrator\Desktop\161\PH%20N16LEDDX161%20&#20313;&#23567;&#27426;\template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0184;&#27583;&#36229;\N20LEDDX102\&#28783;&#20855;\template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lfs01\common\McMahan\AB132I120_A\DR1_Data_1_Lam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Documents%20and%20Settings\candam\Local%20Settings\Temporary%20Internet%20Files\OLK16\CHECKLIST_Rev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39033;&#30446;&#36827;&#24230;&#33410;&#28857;&#36319;&#36394;\&#36817;&#26399;&#39033;&#30446;&#28165;&#21333;\N23LEDDS060%20&#36712;&#36947;&#28783;\B.O.M.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Users\Administrator\Desktop\&#25253;&#21578;\2017&#24180;&#25253;&#21578;\PH&#25253;&#21578;\N17LEDDX053\161V-I\RecoveredExternalLink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4037;&#20316;\&#23436;&#25104;&#39033;&#30446;2\N18LEDDX050\&#28903;&#20445;&#38505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Desktop\&#26032;&#21697;&#39564;&#35777;&#26657;&#26680;\PH-A&#28783;\RecoveredExternalLin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1&#12289;&#39033;&#30446;&#31649;&#29702;\2&#12289;PH%20Ecofit%20HPF%20&#21488;&#28286;\7&#12289;&#39033;&#30446;&#25991;&#20214;\6&#12289;&#26816;&#27979;&#20013;&#24515;&#35797;&#39564;&#25253;&#21578;\P0012507_Validation%20Matrix%20TLED_Tospo%2020160918&#26356;&#2603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1556;&#24605;&#35946;\N20LEDDX145GC\DX14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&#30005;&#24615;&#32452;&#25253;&#21578;&#25991;&#20214;\&#21556;&#24605;&#35946;\&#24050;&#20986;&#25253;&#21578;\&#26032;&#21697;\19&#24180;\N19LEDDX132\N19LEDDX13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&#30005;&#24615;&#32452;&#25253;&#21578;&#25991;&#20214;\&#21556;&#24605;&#35946;\N20LEDDX145GC\DX14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**00"/>
      <sheetName val="**02"/>
      <sheetName val="Roadmap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__00"/>
      <sheetName val="__02"/>
      <sheetName val="Rejects PPM"/>
      <sheetName val="Design"/>
      <sheetName val="Drop-Downs"/>
      <sheetName val="CCC监督安全首页"/>
      <sheetName val="CCC监督电磁首页"/>
      <sheetName val="非委托报告首页"/>
      <sheetName val="template"/>
      <sheetName val="Validation Plan"/>
      <sheetName val="ISRDATA"/>
      <sheetName val="Sample Plan"/>
      <sheetName val="Product Classification"/>
      <sheetName val="SDCM"/>
      <sheetName val="Change type"/>
      <sheetName val="Summary"/>
      <sheetName val="Sheet2"/>
      <sheetName val="Problem List"/>
      <sheetName val="3-In process"/>
      <sheetName val="Foto Produto"/>
      <sheetName val="CCT2xy"/>
      <sheetName val="general averages output no dim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volPTI"/>
      <sheetName val="Transferor General"/>
      <sheetName val="Summary "/>
      <sheetName val="So cai"/>
      <sheetName val="Nhap"/>
      <sheetName val="MTL$-INTER"/>
      <sheetName val="Creepage and clearance A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OVP (潮湿)"/>
      <sheetName val="Jabil_9-99_Process-Asm_PPM"/>
      <sheetName val="Jabil_Top_5"/>
      <sheetName val="Jabil_Monthly_PPM_By_Assem_"/>
      <sheetName val="9-99_Alliance_PPM"/>
      <sheetName val="Alliance_Monthly_PPM"/>
      <sheetName val="Alliance_Top_5"/>
      <sheetName val="Rejects_PPM"/>
      <sheetName val="Validation_Plan"/>
      <sheetName val="Sample_Plan"/>
      <sheetName val="Product_Classification"/>
      <sheetName val="Change_type"/>
      <sheetName val="Problem_List"/>
      <sheetName val="Bilog_Antennas"/>
      <sheetName val="Horn_Antennas"/>
      <sheetName val="Setup_Worksheet"/>
      <sheetName val="Clamps_and_Probes"/>
      <sheetName val="Magnetic_Loops"/>
      <sheetName val="Monopole_Antennas"/>
      <sheetName val="Foto_Produto"/>
      <sheetName val="general_averages_output_no_dimm"/>
      <sheetName val="3-In_process"/>
      <sheetName val="Transferor_General"/>
      <sheetName val="Summary_"/>
      <sheetName val="So_cai"/>
      <sheetName val="灯管加工1"/>
      <sheetName val="dSD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jects PPM"/>
      <sheetName val="Validation Plan"/>
      <sheetName val="Roadmap"/>
      <sheetName val="Sheet2"/>
      <sheetName val="Sample Plan"/>
      <sheetName val="Product Classification"/>
      <sheetName val="ISRDATA"/>
      <sheetName val="CCC监督安全首页"/>
      <sheetName val="CCC监督电磁首页"/>
      <sheetName val="非委托报告首页"/>
      <sheetName val="Design"/>
      <sheetName val="template"/>
      <sheetName val="SDCM"/>
      <sheetName val="Drop-Downs"/>
      <sheetName val="Problem List"/>
      <sheetName val="xy2CCT"/>
      <sheetName val="Foto Produto"/>
      <sheetName val="CCT2xy"/>
      <sheetName val="Summary"/>
      <sheetName val="CADIZPPM99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P2 CBOM"/>
      <sheetName val="DIM"/>
      <sheetName val="volPTI"/>
      <sheetName val="dSDCM"/>
      <sheetName val="Rejects_PPM"/>
      <sheetName val="Validation_Plan"/>
      <sheetName val="Sample_Plan"/>
      <sheetName val="Product_Classification"/>
      <sheetName val="Problem_List"/>
      <sheetName val="Foto_Produto"/>
      <sheetName val="Inrush_current(EMEA_and_NAM)_pd"/>
      <sheetName val="Output_ripple(NAM_and_EMEA)"/>
      <sheetName val="EME_Start_up&amp;shut_down_behavior"/>
      <sheetName val="Neon-switch_test"/>
      <sheetName val="Ripple_current_of_Ecaps_"/>
      <sheetName val="Main_voltage_increase_"/>
      <sheetName val="Fast_switching"/>
      <sheetName val="Surge_for_EMEA_and_India"/>
      <sheetName val="Ring_wave_for_NAM_and_Barizl"/>
      <sheetName val="File_test"/>
      <sheetName val="EMEA_Dimming_performance"/>
      <sheetName val="NAM_Dimming_performance"/>
      <sheetName val="P2_CBOM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Design"/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template"/>
      <sheetName val="Foto Produto"/>
      <sheetName val="Product Info"/>
      <sheetName val="Problem List"/>
      <sheetName val="Product Maturity Grid"/>
      <sheetName val="CCT2xy"/>
      <sheetName val="Sample Plan"/>
      <sheetName val="Product Classification"/>
      <sheetName val="Drop-Downs"/>
      <sheetName val="Validation Plan"/>
      <sheetName val="Roadmap"/>
      <sheetName val="Cover"/>
      <sheetName val="Title"/>
      <sheetName val="Validation Matrix"/>
      <sheetName val="version"/>
      <sheetName val="Performance Validation"/>
      <sheetName val="worklog"/>
      <sheetName val="Sheet1"/>
      <sheetName val="Rejects PPM"/>
      <sheetName val="**00"/>
      <sheetName val="**02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__00"/>
      <sheetName val="__02"/>
      <sheetName val="Sheet2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SDCM"/>
      <sheetName val="Revision History"/>
      <sheetName val="general averages output no dimm"/>
      <sheetName val="Validation Matrix (Philips)"/>
      <sheetName val="Validation Matrix (Supplier)"/>
      <sheetName val="Philips List"/>
      <sheetName val="Supplier List"/>
      <sheetName val="volPTI"/>
      <sheetName val="Condições Comerciais"/>
      <sheetName val="LED Lamps &amp; Systems"/>
      <sheetName val="Tabela Equivalência Lâmpadas"/>
      <sheetName val="dropdown"/>
      <sheetName val="Introduction"/>
      <sheetName val="UltraPlot"/>
      <sheetName val="Quadrangle Plot"/>
      <sheetName val="Tool_xy2CCT"/>
      <sheetName val="Tool_u'v'2CCT"/>
      <sheetName val="Tool_CCT2xy"/>
      <sheetName val="BBL"/>
      <sheetName val="xy2CCT"/>
      <sheetName val="dSDCM"/>
      <sheetName val="RGB"/>
      <sheetName val="Transferor General"/>
      <sheetName val="Thermal Template"/>
      <sheetName val="JA12V25W"/>
      <sheetName val="#REF"/>
      <sheetName val="QPL Spec Dropdown list"/>
      <sheetName val="0.6m"/>
      <sheetName val="0.6m EM"/>
      <sheetName val="1.2m "/>
      <sheetName val="1.2m EM"/>
      <sheetName val="1.5m"/>
      <sheetName val="1.5m EM"/>
      <sheetName val="0.6m浪涌"/>
      <sheetName val="1.2m浪涌"/>
      <sheetName val="1.5m浪涌"/>
      <sheetName val="02谐波"/>
      <sheetName val="06谐波"/>
      <sheetName val="10谐波"/>
      <sheetName val="封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alidation Test Report "/>
      <sheetName val="Description of sample"/>
      <sheetName val="Life test 01"/>
      <sheetName val="Life test 02"/>
      <sheetName val="Life test 03"/>
      <sheetName val="Inrush current 03"/>
      <sheetName val="Line regulation 01"/>
      <sheetName val="Line regulation 01 (镇流器)"/>
      <sheetName val="Load regulation 02"/>
      <sheetName val="Load regulation 02 (镇流器)"/>
      <sheetName val="Ripple current"/>
      <sheetName val="Ripple current镇流器)"/>
      <sheetName val="Start up&amp;shut down"/>
      <sheetName val="Mains voltage 01 "/>
      <sheetName val="Mains voltage 01（镇流器）"/>
      <sheetName val="Cold Hot"/>
      <sheetName val="Cold Hot (镇流器)"/>
      <sheetName val="File test"/>
      <sheetName val="IC OVP validation"/>
      <sheetName val="IC OVP validation（镇流器）"/>
      <sheetName val="DC input01"/>
      <sheetName val="Optical 01 3000K"/>
      <sheetName val="Optical 01 3000K（镇流器）"/>
      <sheetName val="Optical 02 4000K"/>
      <sheetName val="Optical 02 4000K（镇流器）"/>
      <sheetName val="Optical 03 6500K"/>
      <sheetName val="Optical 03 6500K (镇流器)"/>
      <sheetName val="Thermal"/>
      <sheetName val="Design"/>
      <sheetName val="CCT2xy"/>
      <sheetName val="Problem List"/>
      <sheetName val="Validation Plan"/>
      <sheetName val="#REF"/>
      <sheetName val="非委托报告首页"/>
      <sheetName val="CCC监督安全首页"/>
      <sheetName val="CCC监督电磁首页"/>
      <sheetName val="Transferor General"/>
      <sheetName val="灯管加工1"/>
      <sheetName val="Foto Produto"/>
      <sheetName val="template"/>
      <sheetName val="Sheet2"/>
      <sheetName val="general averages output no dimm"/>
      <sheetName val="Roadmap"/>
      <sheetName val="Sample Plan"/>
      <sheetName val="Product Classification"/>
      <sheetName val="dSDC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Thermal Template"/>
      <sheetName val="Drop-Downs"/>
      <sheetName val="Neon-switch test"/>
      <sheetName val="Inrush current(EMEA and NAM) pd"/>
      <sheetName val="Output ripple(NAM and EMEA)"/>
      <sheetName val="EME Start up&amp;shut down behavior"/>
      <sheetName val="Hi-pot"/>
      <sheetName val="ESD"/>
      <sheetName val="Ripple current of Ecaps "/>
      <sheetName val="Main voltage increase "/>
      <sheetName val="Fast switching"/>
      <sheetName val="Surge for EMEA and India"/>
      <sheetName val="Ring wave for NAM and Barizl"/>
      <sheetName val="EMEA Dimming performance"/>
      <sheetName val="NAM Dimming performance"/>
      <sheetName val="ISRDATA"/>
      <sheetName val="xy2C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History"/>
      <sheetName val="Template"/>
      <sheetName val="Drop-Downs"/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ISRDATA"/>
      <sheetName val="PortaPPAP"/>
      <sheetName val="IndicePPAP"/>
      <sheetName val="Warrant"/>
      <sheetName val="RSV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Sheet2"/>
      <sheetName val="Sample Plan"/>
      <sheetName val="Product Classification"/>
      <sheetName val="Roadmap"/>
      <sheetName val="Design"/>
      <sheetName val="Problem List"/>
      <sheetName val="Rejects PPM"/>
      <sheetName val="Foto Produto"/>
      <sheetName val="Cover"/>
      <sheetName val="Title"/>
      <sheetName val="Validation Plan"/>
      <sheetName val="Validation Matrix"/>
      <sheetName val="Validation Matrix (Philips)"/>
      <sheetName val="Validation Matrix (Supplier)"/>
      <sheetName val="Performance Validation"/>
      <sheetName val="Philips List"/>
      <sheetName val="Supplier List"/>
      <sheetName val="version"/>
      <sheetName val="SDCM"/>
      <sheetName val="__00"/>
      <sheetName val="__02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**00"/>
      <sheetName val="**02"/>
      <sheetName val="worklog"/>
      <sheetName val="Sheet1"/>
      <sheetName val="CCT2xy"/>
      <sheetName val="volPTI"/>
      <sheetName val="Product Info"/>
      <sheetName val="Product Maturity Grid"/>
      <sheetName val="Thermal Template"/>
      <sheetName val="#REF"/>
      <sheetName val="dSDCM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Introduction"/>
      <sheetName val="UltraPlot"/>
      <sheetName val="Quadrangle Plot"/>
      <sheetName val="Tool_xy2CCT"/>
      <sheetName val="Tool_u'v'2CCT"/>
      <sheetName val="Tool_CCT2xy"/>
      <sheetName val="BBL"/>
      <sheetName val="xy2CCT"/>
      <sheetName val="RGB"/>
      <sheetName val="RE Calc"/>
      <sheetName val="Chart7"/>
      <sheetName val="points"/>
      <sheetName val="Setup Dialog"/>
      <sheetName val="fcc freq range"/>
      <sheetName val="Welcome Dialog"/>
      <sheetName val="RE Table"/>
      <sheetName val="Table Worksheet"/>
      <sheetName val="Lists"/>
      <sheetName val="Setup Worksheet"/>
      <sheetName val="Margin Sort"/>
      <sheetName val="Limits Worksheet"/>
      <sheetName val="AF Worksheet"/>
      <sheetName val="PAF Worksheet"/>
      <sheetName val="Cables"/>
      <sheetName val="CF Worksheet"/>
      <sheetName val="Bilog Antennas"/>
      <sheetName val="Limits"/>
      <sheetName val="Horn Antennas"/>
      <sheetName val="Monopole Antennas"/>
      <sheetName val="Magnetic Loops"/>
      <sheetName val="Clamps and Probes"/>
      <sheetName val="Preamplifiers"/>
      <sheetName val="Preselectors"/>
      <sheetName val="History Files"/>
      <sheetName val="Condições Comerciais"/>
      <sheetName val="LED Lamps &amp; Systems"/>
      <sheetName val="Tabela Equivalência Lâmpadas"/>
      <sheetName val="dropdown"/>
      <sheetName val=" test EMI 01"/>
      <sheetName val=" test EMI 02"/>
      <sheetName val=" test EMI 03"/>
      <sheetName val="01浪涌"/>
      <sheetName val="02浪涌"/>
      <sheetName val="03浪涌"/>
      <sheetName val="01谐波"/>
      <sheetName val="02谐波"/>
      <sheetName val="03谐波"/>
      <sheetName val="Chart2"/>
      <sheetName val="Chart1"/>
      <sheetName val="G"/>
      <sheetName val="Creepage and clearance A"/>
      <sheetName val="B.O.M"/>
      <sheetName val="OVP"/>
      <sheetName val="封面"/>
      <sheetName val="灯管加工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Chart3"/>
      <sheetName val="Chart4"/>
      <sheetName val="UltraPlot"/>
      <sheetName val="Quadrangle Plot"/>
      <sheetName val="Tool_xy2CCT"/>
      <sheetName val="Tool_u'v'2CCT"/>
      <sheetName val="Tool_CCT2xy"/>
      <sheetName val="BBL"/>
      <sheetName val="xy2CCT"/>
      <sheetName val="CCT2xy"/>
      <sheetName val="SDCM"/>
      <sheetName val="dSDCM"/>
      <sheetName val="RGB"/>
      <sheetName val="G"/>
      <sheetName val="CCC监督安全首页"/>
      <sheetName val="CCC监督电磁首页"/>
      <sheetName val="Roadmap"/>
      <sheetName val="Design"/>
      <sheetName val="Rejects PPM"/>
      <sheetName val="非委托报告首页"/>
      <sheetName val="Transferor General"/>
      <sheetName val="Foto Prod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TQ"/>
      <sheetName val="Coil Requirement"/>
      <sheetName val="Dummy starter 20250103"/>
      <sheetName val="Template Change Log"/>
      <sheetName val="CTQ Transfer"/>
      <sheetName val="Electronic "/>
      <sheetName val="Input"/>
      <sheetName val="Criteria"/>
      <sheetName val="Approbation"/>
      <sheetName val="Dimming CT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general averages output no dimm"/>
      <sheetName val="CCC监督安全首页"/>
      <sheetName val="CCC监督电磁首页"/>
      <sheetName val="template"/>
      <sheetName val="Roadmap"/>
      <sheetName val="Design"/>
      <sheetName val="volPTI"/>
      <sheetName val="xy2CCT"/>
      <sheetName val="Foto Produto"/>
      <sheetName val="Drop-Downs"/>
      <sheetName val="非委托报告首页"/>
      <sheetName val="CCT2xy"/>
      <sheetName val="Sample Plan"/>
      <sheetName val="Product Classification"/>
      <sheetName val="ISRDATA"/>
      <sheetName val="dSDCM"/>
      <sheetName val="#REF"/>
      <sheetName val="Validation Plan"/>
      <sheetName val="Problem List"/>
      <sheetName val="Thermal Template"/>
      <sheetName val="Rejects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ISRDATA"/>
      <sheetName val="Sample Plan"/>
      <sheetName val="Product Classification"/>
      <sheetName val="Design"/>
      <sheetName val="Problem List"/>
      <sheetName val="Rejects PPM"/>
      <sheetName val="非委托报告首页"/>
      <sheetName val="CCC监督安全首页"/>
      <sheetName val="SDCM"/>
      <sheetName val="CCC监督电磁首页"/>
      <sheetName val="Drop-Downs"/>
      <sheetName val="Validation Plan"/>
      <sheetName val="CCT2xy"/>
      <sheetName val="Foto Produto"/>
      <sheetName val="Sheet2"/>
      <sheetName val="Roadmap"/>
      <sheetName val="原始数据"/>
      <sheetName val="general averages output no dimm"/>
      <sheetName val="Transferor General"/>
      <sheetName val="#REF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volPTI"/>
      <sheetName val="Thermal Template"/>
      <sheetName val="IC"/>
      <sheetName val="Magnetics"/>
      <sheetName val="Resistor"/>
      <sheetName val="Inrush current"/>
      <sheetName val=" WG "/>
      <sheetName val="MG_Comp_TGT"/>
      <sheetName val="T52-1C 45W 2700K  9290037756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dSDCM"/>
      <sheetName val="xy2CCT"/>
      <sheetName val="OLT 12.5W"/>
      <sheetName val="Summary (2)"/>
      <sheetName val="封面"/>
      <sheetName val="OVP"/>
    </sheetNames>
    <definedNames>
      <definedName name="hloc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ISRDATA"/>
      <sheetName val="SDCM"/>
      <sheetName val="CCC监督安全首页"/>
      <sheetName val="CCC监督电磁首页"/>
      <sheetName val="非委托报告首页"/>
      <sheetName val="Design"/>
      <sheetName val="Validation Plan"/>
      <sheetName val="Sample Plan"/>
      <sheetName val="Product Classification"/>
      <sheetName val="Problem List"/>
      <sheetName val="Drop-Downs"/>
      <sheetName val="CCT2xy"/>
      <sheetName val="Foto Produto"/>
      <sheetName val="Rejects PPM"/>
      <sheetName val="Sheet2"/>
      <sheetName val="Roadmap"/>
      <sheetName val="原始数据"/>
      <sheetName val="general averages output no dimm"/>
      <sheetName val="#REF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Inrush current"/>
      <sheetName val=" WG "/>
      <sheetName val="volPTI"/>
      <sheetName val="Thermal Template"/>
      <sheetName val="IC"/>
      <sheetName val="Magnetics"/>
      <sheetName val="Resistor"/>
      <sheetName val="MG_Comp_TGT"/>
      <sheetName val="dSDCM"/>
      <sheetName val="xy2CCT"/>
      <sheetName val="灯管加工1"/>
      <sheetName val="封面"/>
      <sheetName val="Summary (2)"/>
      <sheetName val="T52-1C 45W 2700K  9290037756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OLT 12.5W"/>
      <sheetName val="LOSSTMP1"/>
      <sheetName val="WDGSPEC"/>
      <sheetName val="BFORMULA"/>
      <sheetName val="Excel Design Specs"/>
      <sheetName val="Re_lamping"/>
      <sheetName val="Aux Power"/>
      <sheetName val="INDUCTANCE"/>
      <sheetName val="B.O.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EAM"/>
      <sheetName val="PS-Elec (120V)RA-A"/>
      <sheetName val="MS-MechRA-A"/>
      <sheetName val="BPRA-A"/>
      <sheetName val="PS-Elec (120V)-A"/>
      <sheetName val="MS-Mech-A"/>
      <sheetName val="BP-A"/>
      <sheetName val="B132I120-A_AP_SHEET"/>
      <sheetName val="B132I120RA-A_AP_SHEET"/>
      <sheetName val="AB132I120RA-A_COSTING"/>
      <sheetName val="AB132I120-A_BOM"/>
      <sheetName val="AB132I120RA-A_BOM"/>
      <sheetName val="Cost_Benchmarking"/>
      <sheetName val="AB132I120-A_COSTING"/>
      <sheetName val="RESISTIVE AND NO LOAD"/>
      <sheetName val="(1)F32T8"/>
      <sheetName val="(1)F31T8U"/>
      <sheetName val="benchmarking"/>
      <sheetName val="132_LOADLINE_DATA"/>
      <sheetName val="132_LOADLINE_CHART"/>
      <sheetName val="EMI_AB132I120-A"/>
      <sheetName val="EMI_AB132I120RA-A"/>
      <sheetName val="Schematic_Temp"/>
      <sheetName val="WDGSPEC"/>
      <sheetName val="LOSSTMP1"/>
      <sheetName val="BFORMULA"/>
      <sheetName val="INDUCTANCE"/>
      <sheetName val="752FP390_Sat_Curve"/>
      <sheetName val="Roadmap"/>
      <sheetName val="Validation Plan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Creepage and clearance A"/>
      <sheetName val="volPTI"/>
      <sheetName val="Sample Plan"/>
      <sheetName val="Product Classification"/>
      <sheetName val="dSDC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xy2CCT"/>
      <sheetName val="B_O_M_"/>
      <sheetName val="CCT2xy"/>
      <sheetName val="ISRDATA"/>
      <sheetName val="#REF"/>
      <sheetName val="OVP"/>
      <sheetName val="CCC监督安全首页"/>
      <sheetName val="CCC监督电磁首页"/>
      <sheetName val="非委托报告首页"/>
      <sheetName val="封面"/>
      <sheetName val="灯管加工1"/>
      <sheetName val="Thermal Template"/>
      <sheetName val="Sheet2"/>
      <sheetName val="Rejects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Q_A"/>
      <sheetName val="TOC"/>
      <sheetName val="Paper Design"/>
      <sheetName val="Excel Design Specs"/>
      <sheetName val="ASK_BOM"/>
      <sheetName val="Costed BOM"/>
      <sheetName val="Software Table"/>
      <sheetName val="Magnetic Worksheet"/>
      <sheetName val="Lamp Load"/>
      <sheetName val="Resistive_ No Load _ ALS"/>
      <sheetName val="Loadline"/>
      <sheetName val="Benchmark"/>
      <sheetName val="Thermal "/>
      <sheetName val="Stage Efficiency"/>
      <sheetName val="Min_Max_Nom Analysis"/>
      <sheetName val="Audible Noise"/>
      <sheetName val="RH_RC"/>
      <sheetName val="Power Mapping"/>
      <sheetName val="Arc Test_Transorb energy"/>
      <sheetName val="Brownout Survivablility _max_"/>
      <sheetName val="Brownout Survivablility _min_"/>
      <sheetName val="Re_lamping"/>
      <sheetName val="Aux Power"/>
      <sheetName val="Remote Starting and Testing"/>
      <sheetName val="transistor testing"/>
      <sheetName val="transistor worksheet"/>
      <sheetName val="Cycle testing"/>
      <sheetName val="DC Operation"/>
      <sheetName val="EOL testing"/>
      <sheetName val="Shorted Filaments and Miswire"/>
      <sheetName val="Wrong lamps and Motion Detector"/>
      <sheetName val="AppStress Test"/>
      <sheetName val="De_Rating Matrix"/>
      <sheetName val="Waveforms"/>
      <sheetName val="EMI"/>
      <sheetName val="Other Agency Testing"/>
      <sheetName val="Validation Plan"/>
      <sheetName val="ISRDATA"/>
      <sheetName val="CCC监督安全首页"/>
      <sheetName val="CCC监督电磁首页"/>
      <sheetName val="非委托报告首页"/>
      <sheetName val="B_O_M_"/>
      <sheetName val="BFORMULA"/>
      <sheetName val="Transferor General"/>
      <sheetName val="Foto Produto"/>
      <sheetName val="Drop-Downs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dSDCM"/>
      <sheetName val="LOSSTMP1"/>
      <sheetName val="WDGSPEC"/>
      <sheetName val="INDUCTANCE"/>
      <sheetName val="Design"/>
      <sheetName val="Problem List"/>
      <sheetName val="B.O.M"/>
      <sheetName val="OVP"/>
      <sheetName val="封面"/>
      <sheetName val="Rejects PPM"/>
      <sheetName val="xy2C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B.O.M"/>
      <sheetName val="B_O_M"/>
      <sheetName val="template"/>
      <sheetName val="Excel Design Specs"/>
      <sheetName val="Re_lamping"/>
      <sheetName val="Aux Power"/>
      <sheetName val="LOSSTMP1"/>
      <sheetName val="WDGSPEC"/>
      <sheetName val="BFORMULA"/>
      <sheetName val="INDUCTANCE"/>
      <sheetName val="B_O_M_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Design"/>
      <sheetName val="Problem List"/>
      <sheetName val="dSDCM"/>
      <sheetName val="Transferor General"/>
      <sheetName val="Roadmap"/>
      <sheetName val="Validation Plan"/>
      <sheetName val="灯管加工1"/>
      <sheetName val="Foto Produto"/>
      <sheetName val="xy2CCT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Thermal Template"/>
      <sheetName val="general averages output no dimm"/>
      <sheetName val="Sample Plan"/>
      <sheetName val="Product Classification"/>
      <sheetName val="ISRDATA"/>
      <sheetName val="Sheet2"/>
      <sheetName val="Creepage and clearance A"/>
      <sheetName val="volPTI"/>
    </sheetNames>
    <definedNames>
      <definedName name="voltage3" sheetId="51"/>
      <definedName name="voltage4" sheetId="5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Design"/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Foto Produto"/>
      <sheetName val="Problem List"/>
      <sheetName val="Validation Plan"/>
      <sheetName val="Revision History"/>
      <sheetName val="Template"/>
      <sheetName val="Drop-Downs"/>
      <sheetName val="Rejects PPM"/>
      <sheetName val="Roadmap"/>
      <sheetName val="Sample Plan"/>
      <sheetName val="Product Classification"/>
      <sheetName val="Cover"/>
      <sheetName val="Title"/>
      <sheetName val="Validation Matrix"/>
      <sheetName val="Validation Matrix (Philips)"/>
      <sheetName val="Validation Matrix (Supplier)"/>
      <sheetName val="Performance Validation"/>
      <sheetName val="Philips List"/>
      <sheetName val="Supplier List"/>
      <sheetName val="version"/>
      <sheetName val="Sheet2"/>
      <sheetName val="SDCM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general averages output no dimm"/>
      <sheetName val="BFORM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xcessive temperaute"/>
      <sheetName val="Validation Plan"/>
      <sheetName val="Design"/>
      <sheetName val="CCC监督安全首页"/>
      <sheetName val="CCC监督电磁首页"/>
      <sheetName val="非委托报告首页"/>
      <sheetName val="CCT2xy"/>
      <sheetName val="Excessive temperaute  02"/>
      <sheetName val="Roadmap"/>
      <sheetName val="Sheet2"/>
      <sheetName val="template"/>
      <sheetName val="ISRDATA"/>
      <sheetName val="Drop-Downs"/>
      <sheetName val="#REF"/>
      <sheetName val="volPTI"/>
      <sheetName val="Foto Produto"/>
      <sheetName val="Problem List"/>
      <sheetName val="Sample Plan"/>
      <sheetName val="Product Classification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灯管加工1"/>
      <sheetName val="dSDCM"/>
      <sheetName val="LOSSTMP1"/>
      <sheetName val="WDGSPEC"/>
      <sheetName val="BFORMULA"/>
      <sheetName val="INDUCT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ndições Comerciais"/>
      <sheetName val="LED Lamps &amp; Systems"/>
      <sheetName val="Foto Produto"/>
      <sheetName val="Tabela Equivalência Lâmpadas"/>
      <sheetName val="dropdown"/>
      <sheetName val="Validation Plan"/>
      <sheetName val="Drop-Downs"/>
      <sheetName val="Cover"/>
      <sheetName val="Title"/>
      <sheetName val="Validation Matrix"/>
      <sheetName val="Validation Matrix (Philips)"/>
      <sheetName val="Validation Matrix (Supplier)"/>
      <sheetName val="Product Classification"/>
      <sheetName val="Performance Validation"/>
      <sheetName val="Sample Plan"/>
      <sheetName val="Philips List"/>
      <sheetName val="Supplier List"/>
      <sheetName val="version"/>
      <sheetName val="Product Info"/>
      <sheetName val="Problem List"/>
      <sheetName val="Product Maturity Grid"/>
      <sheetName val="Design"/>
      <sheetName val="Revision History"/>
      <sheetName val="Template"/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ISRDATA"/>
      <sheetName val="PortaPPAP"/>
      <sheetName val="IndicePPAP"/>
      <sheetName val="Warrant"/>
      <sheetName val="RSV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CCT2xy"/>
      <sheetName val="worklog"/>
      <sheetName val="Sheet1"/>
      <sheetName val="#REF"/>
      <sheetName val="Sheet2"/>
      <sheetName val="Transferor General"/>
      <sheetName val="general averages output no dimm"/>
      <sheetName val="B_O_M_"/>
      <sheetName val="LOSSTMP1"/>
      <sheetName val="WDGSPEC"/>
      <sheetName val="BFORMULA"/>
      <sheetName val="INDUCTANCE"/>
      <sheetName val="Roa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itle"/>
      <sheetName val="Validation Plan"/>
      <sheetName val="Validation Matrix"/>
      <sheetName val="version"/>
      <sheetName val="Product Classification"/>
      <sheetName val="Performance Validation"/>
      <sheetName val="Sample Plan"/>
      <sheetName val="worklog"/>
      <sheetName val="Sheet1"/>
      <sheetName val="Foto Produto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Sheet2"/>
      <sheetName val="Design"/>
      <sheetName val="Problem List"/>
      <sheetName val="volPTI"/>
      <sheetName val="Drop-Downs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非委托报告首页"/>
      <sheetName val="CCC监督电磁首页"/>
      <sheetName val="Transferor General"/>
      <sheetName val="Excel Design Specs"/>
      <sheetName val="Re_lamping"/>
      <sheetName val="Aux Power"/>
      <sheetName val="B_O_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Validation Plan"/>
      <sheetName val="Sample Plan"/>
      <sheetName val="Product Classification"/>
      <sheetName val="CCC监督安全首页"/>
      <sheetName val="CCC监督电磁首页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volPTI"/>
      <sheetName val="B.O.M"/>
      <sheetName val="Excel Design Specs"/>
      <sheetName val="Re_lamping"/>
      <sheetName val="Aux 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委托报告封面"/>
      <sheetName val="检测报告首页1"/>
      <sheetName val="样品描述 "/>
      <sheetName val="检测仪器设备清单 "/>
      <sheetName val="检测仪器设备清单4"/>
      <sheetName val="检测关键元件器件清件"/>
      <sheetName val="驱动电源及灯具新品验证"/>
      <sheetName val="驱动电源及灯具新品验证 (2)"/>
      <sheetName val="电气性能(120V) 36"/>
      <sheetName val="电气性能(277V) 36"/>
      <sheetName val="电气性能(120V)  42"/>
      <sheetName val="电气性能(277V) 42"/>
      <sheetName val="元器件V-I测试(108V)"/>
      <sheetName val="元器件V-I测试 （108V）"/>
      <sheetName val="元器件V-I测试1 (300V)"/>
      <sheetName val="元器件V-I测试 （300V）"/>
      <sheetName val="部件温度检测 "/>
      <sheetName val="部件温度检测(03)"/>
      <sheetName val="绝缘电阻和介电强度"/>
      <sheetName val="高低压启动测试 (2)"/>
      <sheetName val="低温启动性能（120V）"/>
      <sheetName val="低温启动性能（230V）"/>
      <sheetName val="低温启动性能（277V）"/>
      <sheetName val="高温开关检测（120V）"/>
      <sheetName val="高温开关检测 （230V）"/>
      <sheetName val="高温开关检测 （277V）"/>
      <sheetName val="元器件开路"/>
      <sheetName val="元器件短路"/>
      <sheetName val="浪涌检测 "/>
      <sheetName val="布置图"/>
      <sheetName val="委托报告扉页"/>
      <sheetName val="#REF"/>
      <sheetName val="检测报告首页"/>
      <sheetName val="Creepage and clearance A"/>
      <sheetName val="volPTI"/>
      <sheetName val="ISRDATA"/>
      <sheetName val="Foto Produto"/>
      <sheetName val="Validation Plan"/>
      <sheetName val="Sheet2"/>
      <sheetName val="Design"/>
      <sheetName val="Problem List"/>
      <sheetName val="SDCM"/>
      <sheetName val="Roadmap"/>
      <sheetName val="非委托报告首页"/>
      <sheetName val="CCC监督安全首页"/>
      <sheetName val="Transferor General"/>
      <sheetName val="CCC监督电磁首页"/>
      <sheetName val="template"/>
      <sheetName val="general averages output no dimm"/>
      <sheetName val="Thermal Template"/>
      <sheetName val="B.O.M"/>
      <sheetName val="Drop-Downs"/>
      <sheetName val="Rejects PPM"/>
      <sheetName val="CCT2xy"/>
      <sheetName val="灯管加工1"/>
      <sheetName val="dSDCM"/>
      <sheetName val="Sample Plan"/>
      <sheetName val="Product Class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Foto Produto"/>
      <sheetName val="Drop-Downs"/>
      <sheetName val="Sheet2"/>
      <sheetName val="template"/>
      <sheetName val="general averages output no dimm"/>
      <sheetName val="非委托报告首页"/>
      <sheetName val="CCC监督安全首页"/>
      <sheetName val="CCC监督电磁首页"/>
      <sheetName val="volPTI"/>
      <sheetName val="Roadmap"/>
      <sheetName val="ISRDATA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Creepage and clearance A"/>
      <sheetName val="CCT2xy"/>
      <sheetName val="Validation Plan"/>
      <sheetName val="SDCM"/>
      <sheetName val="Design"/>
      <sheetName val="Sample Plan"/>
      <sheetName val="Product Classification"/>
      <sheetName val="Rejects PPM"/>
      <sheetName val="封面"/>
      <sheetName val="dSDCM"/>
      <sheetName val="#REF"/>
      <sheetName val="xy2CCT"/>
      <sheetName val="Inrush current  "/>
      <sheetName val="灯管加工1"/>
      <sheetName val="Problem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委托报告封面"/>
      <sheetName val="检测报告首页"/>
      <sheetName val="样品描述"/>
      <sheetName val="检测仪器设备清单"/>
      <sheetName val="检测关键元件器件清件"/>
      <sheetName val="LED新产品验证 "/>
      <sheetName val="LED新产品验证（智能）"/>
      <sheetName val="机械性能 "/>
      <sheetName val="机械性能 -直管"/>
      <sheetName val="跌落"/>
      <sheetName val="机械强度"/>
      <sheetName val="IEC拉力"/>
      <sheetName val="UL拉力"/>
      <sheetName val="振动"/>
      <sheetName val="振动布置图"/>
      <sheetName val="直管变形机械强度"/>
      <sheetName val="承重试验"/>
      <sheetName val="承重布置图"/>
      <sheetName val="转动机构耐久测试"/>
      <sheetName val="锤击试验"/>
      <sheetName val="锤击布置图"/>
      <sheetName val="敲落孔强度测试"/>
      <sheetName val="扭矩试验"/>
      <sheetName val="扭矩试验布置图"/>
      <sheetName val="防尘防水检测报告"/>
      <sheetName val="防尘防水布置图"/>
      <sheetName val="盐雾"/>
      <sheetName val="盐雾布置图"/>
      <sheetName val="IEC爬电距离 "/>
      <sheetName val="UL 爬电距离"/>
      <sheetName val="电气性能 "/>
      <sheetName val="电气性能 (纹波)"/>
      <sheetName val="光电色性能 "/>
      <sheetName val="光电色性能 (24h)"/>
      <sheetName val="光电色性能（LED光源）"/>
      <sheetName val="环带光通量"/>
      <sheetName val="TLED驱动端发蓝检测"/>
      <sheetName val="亮度均匀度检测报告"/>
      <sheetName val="骚扰电压-有线网络端口-L "/>
      <sheetName val="骚扰电压-有线网络端-N "/>
      <sheetName val="骚扰电压-本地有线端 -受限ELV-L "/>
      <sheetName val="骚扰电压-本地有线端 -受限ELV -N"/>
      <sheetName val="骚扰电压-本地有线端-非受限ELV -L "/>
      <sheetName val="骚扰电压-本地有线端 -非受限ELV-N "/>
      <sheetName val="传导布置图  "/>
      <sheetName val="CDNE  "/>
      <sheetName val="CDNE布置图"/>
      <sheetName val="FCC-L "/>
      <sheetName val="FCC-N "/>
      <sheetName val="FCC传导布置图"/>
      <sheetName val="元器件V-I检测-电压"/>
      <sheetName val="元器件V-I检测-电流"/>
      <sheetName val="部件温度检测"/>
      <sheetName val="部件温度检测布置图"/>
      <sheetName val="绝缘电阻和介电强度"/>
      <sheetName val="低温启动性能 "/>
      <sheetName val="高低压启动测试"/>
      <sheetName val="高温开关检测"/>
      <sheetName val="元器件开短路 "/>
      <sheetName val="调光曲线 (0-10V)"/>
      <sheetName val="调光曲线 (TRIAC)"/>
      <sheetName val="振铃波"/>
      <sheetName val="电气性能-振铃波前后"/>
      <sheetName val="振铃波布置图"/>
      <sheetName val="浪涌检测报告 "/>
      <sheetName val="电气性能-浪涌前后"/>
      <sheetName val="浪涌布置图"/>
      <sheetName val="Outgassing"/>
      <sheetName val="噪音测试"/>
      <sheetName val="OVP"/>
      <sheetName val="OVP (波形图)"/>
      <sheetName val="OVP (潮湿) "/>
      <sheetName val="快速开关测试"/>
      <sheetName val="overheating检测"/>
      <sheetName val="compatibility测试"/>
      <sheetName val="萤火虫开关测试"/>
      <sheetName val="氖泡开关"/>
      <sheetName val="误使用测试"/>
      <sheetName val="应急电源"/>
      <sheetName val="光频闪检测"/>
      <sheetName val="拉弧 "/>
      <sheetName val="Pin针安全  "/>
      <sheetName val="线性调整率"/>
      <sheetName val="冲击电流"/>
      <sheetName val="接地电阻"/>
      <sheetName val="委托报告扉页"/>
      <sheetName val="规范"/>
    </sheetNames>
    <sheetDataSet>
      <sheetData sheetId="0" refreshError="1">
        <row r="5">
          <cell r="G5" t="str">
            <v>报告编号：N26LEDDX21301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34"/>
  <sheetViews>
    <sheetView tabSelected="1" zoomScale="70" zoomScaleNormal="70" workbookViewId="0">
      <selection activeCell="A8" sqref="A8:R8"/>
    </sheetView>
  </sheetViews>
  <sheetFormatPr defaultColWidth="9" defaultRowHeight="14.25"/>
  <cols>
    <col min="1" max="1" width="7.625" style="4" customWidth="1"/>
    <col min="2" max="2" width="13.25" style="5" customWidth="1"/>
    <col min="3" max="3" width="15.4416666666667" style="5" customWidth="1"/>
    <col min="4" max="4" width="11.7583333333333" style="5" customWidth="1"/>
    <col min="5" max="6" width="7.625" style="5" customWidth="1"/>
    <col min="7" max="7" width="12.9333333333333" style="5" customWidth="1"/>
    <col min="8" max="8" width="13.075" style="5" customWidth="1"/>
    <col min="9" max="9" width="12.4" style="5" customWidth="1"/>
    <col min="10" max="10" width="13.0416666666667" style="6" customWidth="1"/>
    <col min="11" max="11" width="18.8166666666667" style="6" customWidth="1"/>
    <col min="12" max="12" width="20.1333333333333" style="6" customWidth="1"/>
    <col min="13" max="13" width="19.7083333333333" style="6" customWidth="1"/>
    <col min="14" max="14" width="24.9916666666667" style="4" customWidth="1"/>
    <col min="15" max="15" width="10.8666666666667" style="4" customWidth="1"/>
    <col min="16" max="16" width="7.5" style="4" customWidth="1"/>
    <col min="17" max="17" width="14.2583333333333" style="4" customWidth="1"/>
    <col min="18" max="18" width="10.35" style="7" customWidth="1"/>
    <col min="19" max="19" width="9.5" style="4" customWidth="1"/>
    <col min="20" max="20" width="7.25" style="4" customWidth="1"/>
    <col min="21" max="21" width="10" style="4" customWidth="1"/>
    <col min="22" max="16384" width="9" style="4"/>
  </cols>
  <sheetData>
    <row r="1" ht="15.95" customHeight="1" spans="1:2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ht="15.95" customHeight="1" spans="1:2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ht="13.5" customHeight="1" spans="1:2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0"/>
      <c r="T3" s="10"/>
      <c r="U3" s="10"/>
    </row>
    <row r="4" ht="16.9" customHeight="1" spans="1:21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="1" customFormat="1" ht="19.9" customHeight="1" spans="1:21">
      <c r="A5" s="13" t="str">
        <f>[21]委托报告封面!G5</f>
        <v>报告编号：N26LEDDX21301</v>
      </c>
      <c r="B5" s="14"/>
      <c r="C5" s="14"/>
      <c r="D5" s="14"/>
      <c r="E5" s="14"/>
      <c r="F5" s="15"/>
      <c r="G5" s="15"/>
      <c r="H5" s="16"/>
      <c r="I5" s="16"/>
      <c r="J5" s="17"/>
      <c r="K5" s="17"/>
      <c r="L5" s="17"/>
      <c r="M5" s="17"/>
      <c r="N5" s="18"/>
      <c r="O5" s="18"/>
      <c r="P5" s="19"/>
      <c r="Q5" s="20"/>
      <c r="R5" s="21"/>
      <c r="S5" s="20"/>
    </row>
    <row r="6" ht="19.9" customHeight="1" spans="1:21">
      <c r="A6" s="22" t="s">
        <v>4</v>
      </c>
      <c r="B6" s="22"/>
      <c r="C6" s="22"/>
      <c r="D6" s="22"/>
      <c r="E6" s="23"/>
      <c r="F6" s="23"/>
      <c r="G6" s="23"/>
      <c r="H6" s="23"/>
      <c r="I6" s="23"/>
      <c r="J6" s="23"/>
      <c r="K6" s="23"/>
      <c r="L6" s="23"/>
      <c r="M6" s="24" t="s">
        <v>5</v>
      </c>
      <c r="N6" s="25"/>
      <c r="O6" s="26"/>
      <c r="P6" s="27"/>
      <c r="Q6" s="27"/>
      <c r="R6" s="27"/>
      <c r="S6" s="27"/>
      <c r="T6" s="27"/>
      <c r="U6" s="27"/>
    </row>
    <row r="7" s="2" customFormat="1" ht="19.9" customHeight="1" spans="1:21">
      <c r="A7" s="28" t="s">
        <v>6</v>
      </c>
      <c r="B7" s="28"/>
      <c r="C7" s="29" t="s">
        <v>7</v>
      </c>
      <c r="D7" s="30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="2" customFormat="1" ht="19.9" customHeight="1" spans="1:21">
      <c r="A8" s="31" t="s">
        <v>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>
        <v>250000</v>
      </c>
      <c r="T8" s="32"/>
      <c r="U8" s="32"/>
    </row>
    <row r="9" s="3" customFormat="1" ht="19.9" customHeight="1" spans="1:21">
      <c r="A9" s="33" t="s">
        <v>9</v>
      </c>
      <c r="B9" s="33" t="s">
        <v>10</v>
      </c>
      <c r="C9" s="33" t="s">
        <v>11</v>
      </c>
      <c r="D9" s="34" t="s">
        <v>12</v>
      </c>
      <c r="E9" s="35"/>
      <c r="F9" s="35"/>
      <c r="G9" s="35"/>
      <c r="H9" s="35"/>
      <c r="I9" s="35"/>
      <c r="J9" s="33" t="s">
        <v>13</v>
      </c>
      <c r="K9" s="33"/>
      <c r="L9" s="33"/>
      <c r="M9" s="33" t="s">
        <v>14</v>
      </c>
      <c r="N9" s="33"/>
      <c r="O9" s="33"/>
      <c r="P9" s="33"/>
      <c r="Q9" s="33"/>
      <c r="R9" s="33"/>
      <c r="S9" s="36" t="s">
        <v>15</v>
      </c>
      <c r="T9" s="37" t="s">
        <v>16</v>
      </c>
      <c r="U9" s="37"/>
    </row>
    <row r="10" s="3" customFormat="1" ht="19.9" customHeight="1" spans="1:21">
      <c r="A10" s="33"/>
      <c r="B10" s="33"/>
      <c r="C10" s="33"/>
      <c r="D10" s="38" t="s">
        <v>17</v>
      </c>
      <c r="E10" s="39" t="s">
        <v>18</v>
      </c>
      <c r="F10" s="38" t="s">
        <v>19</v>
      </c>
      <c r="G10" s="38" t="s">
        <v>20</v>
      </c>
      <c r="H10" s="40" t="s">
        <v>19</v>
      </c>
      <c r="I10" s="41"/>
      <c r="J10" s="42" t="s">
        <v>17</v>
      </c>
      <c r="K10" s="43" t="s">
        <v>21</v>
      </c>
      <c r="L10" s="43" t="s">
        <v>15</v>
      </c>
      <c r="M10" s="44" t="s">
        <v>17</v>
      </c>
      <c r="N10" s="44" t="s">
        <v>21</v>
      </c>
      <c r="O10" s="45" t="s">
        <v>15</v>
      </c>
      <c r="P10" s="44" t="s">
        <v>20</v>
      </c>
      <c r="Q10" s="44" t="s">
        <v>21</v>
      </c>
      <c r="R10" s="45" t="s">
        <v>15</v>
      </c>
      <c r="S10" s="36"/>
      <c r="T10" s="37"/>
      <c r="U10" s="37"/>
    </row>
    <row r="11" ht="16.15" customHeight="1" spans="1:21">
      <c r="A11" s="33"/>
      <c r="B11" s="33"/>
      <c r="C11" s="33"/>
      <c r="D11" s="38"/>
      <c r="E11" s="38"/>
      <c r="F11" s="38"/>
      <c r="G11" s="38"/>
      <c r="H11" s="46"/>
      <c r="I11" s="47"/>
      <c r="J11" s="48"/>
      <c r="K11" s="49"/>
      <c r="L11" s="49"/>
      <c r="M11" s="49"/>
      <c r="N11" s="49"/>
      <c r="O11" s="46"/>
      <c r="P11" s="49"/>
      <c r="Q11" s="49"/>
      <c r="R11" s="46"/>
      <c r="S11" s="50"/>
      <c r="T11" s="37"/>
      <c r="U11" s="37"/>
    </row>
    <row r="12" ht="27" customHeight="1" spans="1:21">
      <c r="A12" s="51" t="s">
        <v>22</v>
      </c>
      <c r="B12" s="52" t="s">
        <v>23</v>
      </c>
      <c r="C12" s="52"/>
      <c r="D12" s="53"/>
      <c r="E12" s="54">
        <v>0.8</v>
      </c>
      <c r="F12" s="54">
        <v>0.8</v>
      </c>
      <c r="G12" s="55"/>
      <c r="H12" s="54">
        <v>0.7</v>
      </c>
      <c r="I12" s="56"/>
      <c r="J12" s="57"/>
      <c r="K12" s="54" t="e">
        <f t="shared" ref="K12:K24" si="0">J12/D12</f>
        <v>#DIV/0!</v>
      </c>
      <c r="L12" s="58" t="e">
        <f t="shared" ref="L12:L24" si="1">IF(K12&lt;=E12,"合格","不合格")</f>
        <v>#DIV/0!</v>
      </c>
      <c r="M12" s="57"/>
      <c r="N12" s="54" t="e">
        <f>M12/D12</f>
        <v>#DIV/0!</v>
      </c>
      <c r="O12" s="58" t="e">
        <f t="shared" ref="O12:O23" si="2">IF(N12&lt;=F12,"合格","不合格")</f>
        <v>#DIV/0!</v>
      </c>
      <c r="P12" s="57"/>
      <c r="Q12" s="54" t="e">
        <f t="shared" ref="Q12:Q14" si="3">P12/G12</f>
        <v>#DIV/0!</v>
      </c>
      <c r="R12" s="58" t="e">
        <f t="shared" ref="R12:R14" si="4">IF(Q12&lt;=H12,"合格","不合格")</f>
        <v>#DIV/0!</v>
      </c>
      <c r="S12" s="59" t="e">
        <f t="shared" ref="S12:S17" si="5">IF(AND(L12="合格",O12="合格",R12="合格"),"合格","不合格")</f>
        <v>#DIV/0!</v>
      </c>
      <c r="T12" s="59" t="s">
        <v>24</v>
      </c>
      <c r="U12" s="60"/>
    </row>
    <row r="13" ht="27" customHeight="1" spans="1:21">
      <c r="A13" s="51" t="s">
        <v>25</v>
      </c>
      <c r="B13" s="52" t="s">
        <v>26</v>
      </c>
      <c r="C13" s="52"/>
      <c r="D13" s="53"/>
      <c r="E13" s="54">
        <v>0.8</v>
      </c>
      <c r="F13" s="54">
        <v>0.8</v>
      </c>
      <c r="G13" s="55"/>
      <c r="H13" s="54">
        <v>0.7</v>
      </c>
      <c r="I13" s="56"/>
      <c r="J13" s="57"/>
      <c r="K13" s="54" t="e">
        <f t="shared" si="0"/>
        <v>#DIV/0!</v>
      </c>
      <c r="L13" s="58" t="e">
        <f t="shared" si="1"/>
        <v>#DIV/0!</v>
      </c>
      <c r="M13" s="57"/>
      <c r="N13" s="54" t="e">
        <f>M13/D13</f>
        <v>#DIV/0!</v>
      </c>
      <c r="O13" s="58" t="e">
        <f t="shared" si="2"/>
        <v>#DIV/0!</v>
      </c>
      <c r="P13" s="57"/>
      <c r="Q13" s="54" t="e">
        <f t="shared" si="3"/>
        <v>#DIV/0!</v>
      </c>
      <c r="R13" s="58" t="e">
        <f t="shared" si="4"/>
        <v>#DIV/0!</v>
      </c>
      <c r="S13" s="59" t="e">
        <f t="shared" si="5"/>
        <v>#DIV/0!</v>
      </c>
      <c r="T13" s="59" t="s">
        <v>24</v>
      </c>
      <c r="U13" s="60"/>
    </row>
    <row r="14" ht="27" customHeight="1" spans="1:21">
      <c r="A14" s="51" t="s">
        <v>27</v>
      </c>
      <c r="B14" s="52" t="s">
        <v>28</v>
      </c>
      <c r="C14" s="52"/>
      <c r="D14" s="53"/>
      <c r="E14" s="54" t="s">
        <v>24</v>
      </c>
      <c r="F14" s="61" t="s">
        <v>24</v>
      </c>
      <c r="G14" s="55"/>
      <c r="H14" s="54">
        <v>1</v>
      </c>
      <c r="I14" s="56"/>
      <c r="J14" s="61" t="s">
        <v>24</v>
      </c>
      <c r="K14" s="61" t="s">
        <v>24</v>
      </c>
      <c r="L14" s="61" t="s">
        <v>24</v>
      </c>
      <c r="M14" s="61" t="s">
        <v>24</v>
      </c>
      <c r="N14" s="61" t="s">
        <v>24</v>
      </c>
      <c r="O14" s="61" t="s">
        <v>24</v>
      </c>
      <c r="P14" s="57"/>
      <c r="Q14" s="54" t="e">
        <f t="shared" si="3"/>
        <v>#DIV/0!</v>
      </c>
      <c r="R14" s="58" t="e">
        <f t="shared" si="4"/>
        <v>#DIV/0!</v>
      </c>
      <c r="S14" s="59" t="e">
        <f>IF(R14="合格","合格","不合格")</f>
        <v>#DIV/0!</v>
      </c>
      <c r="T14" s="59" t="s">
        <v>24</v>
      </c>
      <c r="U14" s="60"/>
    </row>
    <row r="15" ht="27" customHeight="1" spans="1:21">
      <c r="A15" s="51" t="s">
        <v>29</v>
      </c>
      <c r="B15" s="52" t="s">
        <v>30</v>
      </c>
      <c r="C15" s="52"/>
      <c r="D15" s="53"/>
      <c r="E15" s="54">
        <f>IF($S$8&gt;35000,130%,IF($S$8&gt;15000,140%,150%))</f>
        <v>1.3</v>
      </c>
      <c r="F15" s="54">
        <f>IF($S$8&gt;35000,95%,IF($S$8&gt;15000,95%,100%))</f>
        <v>0.95</v>
      </c>
      <c r="G15" s="61" t="s">
        <v>24</v>
      </c>
      <c r="H15" s="54" t="s">
        <v>24</v>
      </c>
      <c r="I15" s="56"/>
      <c r="J15" s="57"/>
      <c r="K15" s="54" t="e">
        <f t="shared" si="0"/>
        <v>#DIV/0!</v>
      </c>
      <c r="L15" s="58" t="e">
        <f t="shared" si="1"/>
        <v>#DIV/0!</v>
      </c>
      <c r="M15" s="57"/>
      <c r="N15" s="54" t="e">
        <f t="shared" ref="N12:N23" si="6">M15/D15</f>
        <v>#DIV/0!</v>
      </c>
      <c r="O15" s="58" t="e">
        <f t="shared" si="2"/>
        <v>#DIV/0!</v>
      </c>
      <c r="P15" s="61" t="s">
        <v>24</v>
      </c>
      <c r="Q15" s="61" t="s">
        <v>24</v>
      </c>
      <c r="R15" s="61" t="s">
        <v>24</v>
      </c>
      <c r="S15" s="59" t="e">
        <f>IF(AND(L15="合格",O15="合格"),"合格","不合格")</f>
        <v>#DIV/0!</v>
      </c>
      <c r="T15" s="59" t="s">
        <v>24</v>
      </c>
      <c r="U15" s="60"/>
    </row>
    <row r="16" ht="27" customHeight="1" spans="1:21">
      <c r="A16" s="51" t="s">
        <v>29</v>
      </c>
      <c r="B16" s="52" t="s">
        <v>31</v>
      </c>
      <c r="C16" s="52"/>
      <c r="D16" s="53"/>
      <c r="E16" s="54">
        <f>IF($S$8&gt;35000,90%,IF($S$8&gt;15000,95%,100%))</f>
        <v>0.9</v>
      </c>
      <c r="F16" s="54">
        <f>IF($S$8&gt;35000,60%,IF($S$8&gt;15000,70%,80%))</f>
        <v>0.6</v>
      </c>
      <c r="G16" s="61" t="s">
        <v>24</v>
      </c>
      <c r="H16" s="54" t="s">
        <v>24</v>
      </c>
      <c r="I16" s="56"/>
      <c r="J16" s="57"/>
      <c r="K16" s="54" t="e">
        <f t="shared" si="0"/>
        <v>#DIV/0!</v>
      </c>
      <c r="L16" s="58" t="e">
        <f t="shared" si="1"/>
        <v>#DIV/0!</v>
      </c>
      <c r="M16" s="57"/>
      <c r="N16" s="54" t="e">
        <f t="shared" si="6"/>
        <v>#DIV/0!</v>
      </c>
      <c r="O16" s="58" t="e">
        <f t="shared" si="2"/>
        <v>#DIV/0!</v>
      </c>
      <c r="P16" s="61" t="s">
        <v>24</v>
      </c>
      <c r="Q16" s="61" t="s">
        <v>24</v>
      </c>
      <c r="R16" s="61" t="s">
        <v>24</v>
      </c>
      <c r="S16" s="59" t="e">
        <f t="shared" ref="S15:S22" si="7">IF(AND(L16="合格",O16="合格"),"合格","不合格")</f>
        <v>#DIV/0!</v>
      </c>
      <c r="T16" s="59" t="s">
        <v>24</v>
      </c>
      <c r="U16" s="60"/>
    </row>
    <row r="17" ht="27" customHeight="1" spans="1:24">
      <c r="A17" s="51" t="s">
        <v>32</v>
      </c>
      <c r="B17" s="52" t="s">
        <v>33</v>
      </c>
      <c r="C17" s="52"/>
      <c r="D17" s="53"/>
      <c r="E17" s="54">
        <v>1.2</v>
      </c>
      <c r="F17" s="54">
        <f>IF(D17&gt;250,100%,95%)</f>
        <v>0.95</v>
      </c>
      <c r="G17" s="55"/>
      <c r="H17" s="54">
        <f>IF(D17&gt;250,95%,90%)</f>
        <v>0.9</v>
      </c>
      <c r="I17" s="56"/>
      <c r="J17" s="57"/>
      <c r="K17" s="54" t="e">
        <f t="shared" si="0"/>
        <v>#DIV/0!</v>
      </c>
      <c r="L17" s="58" t="e">
        <f t="shared" si="1"/>
        <v>#DIV/0!</v>
      </c>
      <c r="M17" s="57"/>
      <c r="N17" s="54" t="e">
        <f t="shared" si="6"/>
        <v>#DIV/0!</v>
      </c>
      <c r="O17" s="58" t="e">
        <f t="shared" si="2"/>
        <v>#DIV/0!</v>
      </c>
      <c r="P17" s="57"/>
      <c r="Q17" s="54" t="e">
        <f>P17/G17</f>
        <v>#DIV/0!</v>
      </c>
      <c r="R17" s="58" t="e">
        <f>IF(Q17&lt;=H17,"合格","不合格")</f>
        <v>#DIV/0!</v>
      </c>
      <c r="S17" s="59" t="e">
        <f t="shared" si="5"/>
        <v>#DIV/0!</v>
      </c>
      <c r="T17" s="59" t="s">
        <v>24</v>
      </c>
      <c r="U17" s="60"/>
    </row>
    <row r="18" ht="25.9" customHeight="1" spans="1:24">
      <c r="A18" s="51" t="s">
        <v>34</v>
      </c>
      <c r="B18" s="52" t="s">
        <v>35</v>
      </c>
      <c r="C18" s="52"/>
      <c r="D18" s="62"/>
      <c r="E18" s="54">
        <v>0.8</v>
      </c>
      <c r="F18" s="54">
        <v>0.7</v>
      </c>
      <c r="G18" s="61" t="s">
        <v>24</v>
      </c>
      <c r="H18" s="54" t="s">
        <v>24</v>
      </c>
      <c r="I18" s="56"/>
      <c r="J18" s="57"/>
      <c r="K18" s="54" t="e">
        <f t="shared" si="0"/>
        <v>#DIV/0!</v>
      </c>
      <c r="L18" s="58" t="e">
        <f t="shared" si="1"/>
        <v>#DIV/0!</v>
      </c>
      <c r="M18" s="57"/>
      <c r="N18" s="54" t="e">
        <f t="shared" si="6"/>
        <v>#DIV/0!</v>
      </c>
      <c r="O18" s="58" t="e">
        <f t="shared" si="2"/>
        <v>#DIV/0!</v>
      </c>
      <c r="P18" s="61" t="s">
        <v>24</v>
      </c>
      <c r="Q18" s="61" t="s">
        <v>24</v>
      </c>
      <c r="R18" s="61" t="s">
        <v>24</v>
      </c>
      <c r="S18" s="59" t="e">
        <f t="shared" si="7"/>
        <v>#DIV/0!</v>
      </c>
      <c r="T18" s="59" t="s">
        <v>24</v>
      </c>
      <c r="U18" s="60"/>
    </row>
    <row r="19" ht="25.9" customHeight="1" spans="1:24">
      <c r="A19" s="51" t="s">
        <v>36</v>
      </c>
      <c r="B19" s="52" t="s">
        <v>37</v>
      </c>
      <c r="C19" s="52"/>
      <c r="D19" s="62"/>
      <c r="E19" s="54">
        <v>0.95</v>
      </c>
      <c r="F19" s="54">
        <v>0.9</v>
      </c>
      <c r="G19" s="61" t="s">
        <v>24</v>
      </c>
      <c r="H19" s="54" t="s">
        <v>24</v>
      </c>
      <c r="I19" s="56"/>
      <c r="J19" s="57"/>
      <c r="K19" s="54" t="e">
        <f t="shared" si="0"/>
        <v>#DIV/0!</v>
      </c>
      <c r="L19" s="58" t="e">
        <f t="shared" si="1"/>
        <v>#DIV/0!</v>
      </c>
      <c r="M19" s="57"/>
      <c r="N19" s="54" t="e">
        <f t="shared" si="6"/>
        <v>#DIV/0!</v>
      </c>
      <c r="O19" s="58" t="e">
        <f t="shared" si="2"/>
        <v>#DIV/0!</v>
      </c>
      <c r="P19" s="61" t="s">
        <v>24</v>
      </c>
      <c r="Q19" s="61" t="s">
        <v>24</v>
      </c>
      <c r="R19" s="61" t="s">
        <v>24</v>
      </c>
      <c r="S19" s="59" t="e">
        <f t="shared" si="7"/>
        <v>#DIV/0!</v>
      </c>
      <c r="T19" s="59" t="s">
        <v>24</v>
      </c>
      <c r="U19" s="60"/>
    </row>
    <row r="20" ht="25.9" customHeight="1" spans="1:24">
      <c r="A20" s="51" t="s">
        <v>38</v>
      </c>
      <c r="B20" s="52" t="s">
        <v>39</v>
      </c>
      <c r="C20" s="52"/>
      <c r="D20" s="62"/>
      <c r="E20" s="54">
        <v>0.85</v>
      </c>
      <c r="F20" s="54">
        <v>0.8</v>
      </c>
      <c r="G20" s="61" t="s">
        <v>24</v>
      </c>
      <c r="H20" s="54" t="s">
        <v>24</v>
      </c>
      <c r="I20" s="56"/>
      <c r="J20" s="57"/>
      <c r="K20" s="54" t="e">
        <f t="shared" si="0"/>
        <v>#DIV/0!</v>
      </c>
      <c r="L20" s="58" t="e">
        <f t="shared" si="1"/>
        <v>#DIV/0!</v>
      </c>
      <c r="M20" s="57"/>
      <c r="N20" s="54" t="e">
        <f t="shared" si="6"/>
        <v>#DIV/0!</v>
      </c>
      <c r="O20" s="58" t="e">
        <f t="shared" si="2"/>
        <v>#DIV/0!</v>
      </c>
      <c r="P20" s="61" t="s">
        <v>24</v>
      </c>
      <c r="Q20" s="61" t="s">
        <v>24</v>
      </c>
      <c r="R20" s="61" t="s">
        <v>24</v>
      </c>
      <c r="S20" s="59" t="e">
        <f t="shared" si="7"/>
        <v>#DIV/0!</v>
      </c>
      <c r="T20" s="59" t="s">
        <v>24</v>
      </c>
      <c r="U20" s="60"/>
    </row>
    <row r="21" ht="25.9" customHeight="1" spans="1:24">
      <c r="A21" s="51" t="s">
        <v>40</v>
      </c>
      <c r="B21" s="52" t="s">
        <v>41</v>
      </c>
      <c r="C21" s="52"/>
      <c r="D21" s="62"/>
      <c r="E21" s="54">
        <v>0.95</v>
      </c>
      <c r="F21" s="54">
        <v>0.9</v>
      </c>
      <c r="G21" s="61" t="s">
        <v>24</v>
      </c>
      <c r="H21" s="54" t="s">
        <v>24</v>
      </c>
      <c r="I21" s="56"/>
      <c r="J21" s="57"/>
      <c r="K21" s="54" t="e">
        <f t="shared" si="0"/>
        <v>#DIV/0!</v>
      </c>
      <c r="L21" s="58" t="e">
        <f t="shared" si="1"/>
        <v>#DIV/0!</v>
      </c>
      <c r="M21" s="57"/>
      <c r="N21" s="54" t="e">
        <f t="shared" si="6"/>
        <v>#DIV/0!</v>
      </c>
      <c r="O21" s="58" t="e">
        <f t="shared" si="2"/>
        <v>#DIV/0!</v>
      </c>
      <c r="P21" s="61" t="s">
        <v>24</v>
      </c>
      <c r="Q21" s="61" t="s">
        <v>24</v>
      </c>
      <c r="R21" s="61" t="s">
        <v>24</v>
      </c>
      <c r="S21" s="59" t="e">
        <f t="shared" si="7"/>
        <v>#DIV/0!</v>
      </c>
      <c r="T21" s="59" t="s">
        <v>24</v>
      </c>
      <c r="U21" s="60"/>
    </row>
    <row r="22" ht="25.9" customHeight="1" spans="1:24">
      <c r="A22" s="51" t="s">
        <v>42</v>
      </c>
      <c r="B22" s="52" t="s">
        <v>43</v>
      </c>
      <c r="C22" s="52"/>
      <c r="D22" s="62"/>
      <c r="E22" s="54">
        <v>0.85</v>
      </c>
      <c r="F22" s="54">
        <v>0.8</v>
      </c>
      <c r="G22" s="61" t="s">
        <v>24</v>
      </c>
      <c r="H22" s="54" t="s">
        <v>24</v>
      </c>
      <c r="I22" s="56"/>
      <c r="J22" s="57"/>
      <c r="K22" s="54" t="e">
        <f t="shared" si="0"/>
        <v>#DIV/0!</v>
      </c>
      <c r="L22" s="58" t="e">
        <f t="shared" si="1"/>
        <v>#DIV/0!</v>
      </c>
      <c r="M22" s="57"/>
      <c r="N22" s="54" t="e">
        <f t="shared" si="6"/>
        <v>#DIV/0!</v>
      </c>
      <c r="O22" s="58" t="e">
        <f t="shared" si="2"/>
        <v>#DIV/0!</v>
      </c>
      <c r="P22" s="61" t="s">
        <v>24</v>
      </c>
      <c r="Q22" s="61" t="s">
        <v>24</v>
      </c>
      <c r="R22" s="61" t="s">
        <v>24</v>
      </c>
      <c r="S22" s="59" t="e">
        <f t="shared" si="7"/>
        <v>#DIV/0!</v>
      </c>
      <c r="T22" s="59" t="s">
        <v>24</v>
      </c>
      <c r="U22" s="60"/>
    </row>
    <row r="23" ht="24" customHeight="1" spans="1:24">
      <c r="A23" s="51" t="s">
        <v>44</v>
      </c>
      <c r="B23" s="52" t="s">
        <v>45</v>
      </c>
      <c r="C23" s="52"/>
      <c r="D23" s="62"/>
      <c r="E23" s="63">
        <v>1</v>
      </c>
      <c r="F23" s="54">
        <v>1</v>
      </c>
      <c r="G23" s="61" t="s">
        <v>24</v>
      </c>
      <c r="H23" s="54" t="s">
        <v>24</v>
      </c>
      <c r="I23" s="56"/>
      <c r="J23" s="57"/>
      <c r="K23" s="54" t="e">
        <f t="shared" si="0"/>
        <v>#DIV/0!</v>
      </c>
      <c r="L23" s="58" t="e">
        <f t="shared" si="1"/>
        <v>#DIV/0!</v>
      </c>
      <c r="M23" s="57"/>
      <c r="N23" s="54" t="e">
        <f t="shared" si="6"/>
        <v>#DIV/0!</v>
      </c>
      <c r="O23" s="58" t="e">
        <f t="shared" si="2"/>
        <v>#DIV/0!</v>
      </c>
      <c r="P23" s="57"/>
      <c r="Q23" s="54" t="str">
        <f>IF(AND(V23&lt;P23,P23&lt;X23*0.95),"Pass","Fail")</f>
        <v>Fail</v>
      </c>
      <c r="R23" s="64" t="str">
        <f>IF(AND(V23&lt;P23,P23&lt;X23*0.95),"合格","不合格")</f>
        <v>不合格</v>
      </c>
      <c r="S23" s="59" t="e">
        <f>IF(AND(L23="合格",O23="合格",R23="合格"),"合格","不合格")</f>
        <v>#DIV/0!</v>
      </c>
      <c r="T23" s="59" t="s">
        <v>24</v>
      </c>
      <c r="U23" s="60"/>
      <c r="V23" s="65">
        <v>5</v>
      </c>
      <c r="W23" s="65" t="s">
        <v>46</v>
      </c>
      <c r="X23" s="65">
        <v>12</v>
      </c>
    </row>
    <row r="24" ht="22.9" customHeight="1" spans="1:24">
      <c r="A24" s="66" t="s">
        <v>47</v>
      </c>
      <c r="B24" s="52" t="s">
        <v>48</v>
      </c>
      <c r="C24" s="52"/>
      <c r="D24" s="62"/>
      <c r="E24" s="63">
        <f t="array" ref="E24">_xlfn.IFS(B24="Vds",IF(D24&gt;250,95%,85%))</f>
        <v>0.85</v>
      </c>
      <c r="F24" s="54" t="str">
        <f>_xlfn.IFS(B24="Vds","/",B24="Vce",IF(D24&gt;250,90%,80%),B24="Vgs",90%,B24="Vbe",100%,B24="Vcc",100%)</f>
        <v>/</v>
      </c>
      <c r="G24" s="61" t="s">
        <v>24</v>
      </c>
      <c r="H24" s="54" t="s">
        <v>24</v>
      </c>
      <c r="I24" s="56"/>
      <c r="J24" s="67"/>
      <c r="K24" s="54" t="e">
        <f t="shared" si="0"/>
        <v>#DIV/0!</v>
      </c>
      <c r="L24" s="58" t="e">
        <f t="shared" si="1"/>
        <v>#DIV/0!</v>
      </c>
      <c r="M24" s="61" t="s">
        <v>24</v>
      </c>
      <c r="N24" s="61" t="s">
        <v>24</v>
      </c>
      <c r="O24" s="61" t="s">
        <v>24</v>
      </c>
      <c r="P24" s="61" t="s">
        <v>24</v>
      </c>
      <c r="Q24" s="61" t="s">
        <v>24</v>
      </c>
      <c r="R24" s="61" t="s">
        <v>24</v>
      </c>
      <c r="S24" s="59" t="e">
        <f>IF(AND(L24="合格"),"合格","不合格")</f>
        <v>#DIV/0!</v>
      </c>
      <c r="T24" s="59" t="s">
        <v>24</v>
      </c>
      <c r="U24" s="60"/>
    </row>
    <row r="25" ht="22.9" customHeight="1" spans="1:24">
      <c r="A25" s="66" t="s">
        <v>47</v>
      </c>
      <c r="B25" s="52" t="s">
        <v>49</v>
      </c>
      <c r="C25" s="52"/>
      <c r="D25" s="62"/>
      <c r="E25" s="63" t="s">
        <v>24</v>
      </c>
      <c r="F25" s="54">
        <v>0.9</v>
      </c>
      <c r="G25" s="61" t="s">
        <v>24</v>
      </c>
      <c r="H25" s="54" t="s">
        <v>24</v>
      </c>
      <c r="I25" s="56"/>
      <c r="J25" s="54" t="s">
        <v>24</v>
      </c>
      <c r="K25" s="54" t="s">
        <v>24</v>
      </c>
      <c r="L25" s="54" t="s">
        <v>24</v>
      </c>
      <c r="M25" s="68"/>
      <c r="N25" s="54" t="e">
        <f>M25/D25</f>
        <v>#DIV/0!</v>
      </c>
      <c r="O25" s="58" t="e">
        <f>IF(N25&lt;=F25,"合格","不合格")</f>
        <v>#DIV/0!</v>
      </c>
      <c r="P25" s="61" t="s">
        <v>24</v>
      </c>
      <c r="Q25" s="61" t="s">
        <v>24</v>
      </c>
      <c r="R25" s="61" t="s">
        <v>24</v>
      </c>
      <c r="S25" s="59" t="e">
        <f>IF(AND(O25="Pass",M25&gt;=W25*2),"Pass","Fail")</f>
        <v>#DIV/0!</v>
      </c>
      <c r="T25" s="59" t="s">
        <v>24</v>
      </c>
      <c r="U25" s="60"/>
      <c r="V25" s="65" t="s">
        <v>50</v>
      </c>
      <c r="W25" s="69">
        <v>30</v>
      </c>
    </row>
    <row r="26" ht="22.9" customHeight="1" spans="1:24">
      <c r="A26" s="66" t="s">
        <v>51</v>
      </c>
      <c r="B26" s="52" t="s">
        <v>52</v>
      </c>
      <c r="C26" s="52"/>
      <c r="D26" s="62"/>
      <c r="E26" s="63" t="s">
        <v>24</v>
      </c>
      <c r="F26" s="54">
        <f t="array" ref="F26">_xlfn.IFS(B26="Vce",IF(D26&gt;250,90%,80%))</f>
        <v>0.8</v>
      </c>
      <c r="G26" s="61" t="s">
        <v>24</v>
      </c>
      <c r="H26" s="54" t="s">
        <v>24</v>
      </c>
      <c r="I26" s="56"/>
      <c r="J26" s="54" t="s">
        <v>24</v>
      </c>
      <c r="K26" s="54" t="s">
        <v>24</v>
      </c>
      <c r="L26" s="54" t="s">
        <v>24</v>
      </c>
      <c r="M26" s="57"/>
      <c r="N26" s="54" t="e">
        <f>M26/D26</f>
        <v>#DIV/0!</v>
      </c>
      <c r="O26" s="58" t="e">
        <f>IF(N26&lt;=F26,"合格","不合格")</f>
        <v>#DIV/0!</v>
      </c>
      <c r="P26" s="61" t="s">
        <v>24</v>
      </c>
      <c r="Q26" s="61" t="s">
        <v>24</v>
      </c>
      <c r="R26" s="61" t="s">
        <v>24</v>
      </c>
      <c r="S26" s="59" t="e">
        <f>IF(O26="合格","合格","不合格")</f>
        <v>#DIV/0!</v>
      </c>
      <c r="T26" s="59" t="s">
        <v>24</v>
      </c>
      <c r="U26" s="60"/>
    </row>
    <row r="27" ht="19.9" customHeight="1" spans="1:24">
      <c r="A27" s="70" t="s">
        <v>9</v>
      </c>
      <c r="B27" s="33" t="s">
        <v>10</v>
      </c>
      <c r="C27" s="33" t="s">
        <v>11</v>
      </c>
      <c r="D27" s="34" t="s">
        <v>53</v>
      </c>
      <c r="E27" s="35"/>
      <c r="F27" s="35"/>
      <c r="G27" s="35"/>
      <c r="H27" s="71"/>
      <c r="I27" s="71"/>
      <c r="J27" s="34" t="s">
        <v>54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3" t="s">
        <v>15</v>
      </c>
    </row>
    <row r="28" ht="19.9" customHeight="1" spans="1:24">
      <c r="A28" s="70"/>
      <c r="B28" s="33"/>
      <c r="C28" s="33"/>
      <c r="D28" s="48" t="s">
        <v>55</v>
      </c>
      <c r="E28" s="72" t="s">
        <v>56</v>
      </c>
      <c r="F28" s="48" t="s">
        <v>57</v>
      </c>
      <c r="G28" s="72" t="s">
        <v>58</v>
      </c>
      <c r="H28" s="48" t="s">
        <v>59</v>
      </c>
      <c r="I28" s="73" t="s">
        <v>60</v>
      </c>
      <c r="J28" s="40" t="s">
        <v>61</v>
      </c>
      <c r="K28" s="41"/>
      <c r="L28" s="38" t="s">
        <v>21</v>
      </c>
      <c r="M28" s="38" t="s">
        <v>15</v>
      </c>
      <c r="N28" s="38" t="s">
        <v>55</v>
      </c>
      <c r="O28" s="38" t="s">
        <v>21</v>
      </c>
      <c r="P28" s="38" t="s">
        <v>15</v>
      </c>
      <c r="Q28" s="38" t="s">
        <v>62</v>
      </c>
      <c r="R28" s="43" t="s">
        <v>20</v>
      </c>
      <c r="S28" s="38" t="s">
        <v>21</v>
      </c>
      <c r="T28" s="74" t="s">
        <v>15</v>
      </c>
      <c r="U28" s="33"/>
    </row>
    <row r="29" ht="16.9" customHeight="1" spans="1:24">
      <c r="A29" s="70"/>
      <c r="B29" s="33"/>
      <c r="C29" s="33"/>
      <c r="D29" s="75"/>
      <c r="E29" s="38"/>
      <c r="F29" s="75"/>
      <c r="G29" s="38"/>
      <c r="H29" s="75"/>
      <c r="I29" s="74"/>
      <c r="J29" s="46"/>
      <c r="K29" s="47"/>
      <c r="L29" s="38"/>
      <c r="M29" s="38"/>
      <c r="N29" s="38"/>
      <c r="O29" s="38"/>
      <c r="P29" s="38"/>
      <c r="Q29" s="38"/>
      <c r="R29" s="49"/>
      <c r="S29" s="38"/>
      <c r="T29" s="74"/>
      <c r="U29" s="33"/>
    </row>
    <row r="30" ht="19.9" customHeight="1" spans="1:24">
      <c r="A30" s="51" t="s">
        <v>63</v>
      </c>
      <c r="B30" s="76" t="s">
        <v>64</v>
      </c>
      <c r="C30" s="62"/>
      <c r="D30" s="53" t="s">
        <v>24</v>
      </c>
      <c r="E30" s="53" t="s">
        <v>24</v>
      </c>
      <c r="F30" s="53" t="s">
        <v>24</v>
      </c>
      <c r="G30" s="53" t="s">
        <v>24</v>
      </c>
      <c r="H30" s="77"/>
      <c r="I30" s="78">
        <f>IF($S$8&gt;35000,70%,IF($S$8&gt;15000,75%,80%))</f>
        <v>0.7</v>
      </c>
      <c r="J30" s="79" t="s">
        <v>24</v>
      </c>
      <c r="K30" s="80"/>
      <c r="L30" s="53" t="s">
        <v>24</v>
      </c>
      <c r="M30" s="53" t="s">
        <v>24</v>
      </c>
      <c r="N30" s="53">
        <v>1</v>
      </c>
      <c r="O30" s="53" t="s">
        <v>24</v>
      </c>
      <c r="P30" s="53" t="s">
        <v>24</v>
      </c>
      <c r="Q30" s="81" t="e">
        <f>R30*R30/V30</f>
        <v>#DIV/0!</v>
      </c>
      <c r="R30" s="82"/>
      <c r="S30" s="54" t="e">
        <f t="shared" ref="S30:S32" si="8">Q30/H30</f>
        <v>#DIV/0!</v>
      </c>
      <c r="T30" s="58" t="e">
        <f t="shared" ref="T30:T32" si="9">IF(S30&lt;=$I30,"合格","不合格")</f>
        <v>#DIV/0!</v>
      </c>
      <c r="U30" s="58" t="e">
        <f>IF(T30="合格","合格","不合格")</f>
        <v>#DIV/0!</v>
      </c>
    </row>
    <row r="31" ht="19.9" customHeight="1" spans="1:24">
      <c r="A31" s="51" t="s">
        <v>65</v>
      </c>
      <c r="B31" s="76" t="s">
        <v>66</v>
      </c>
      <c r="C31" s="62"/>
      <c r="D31" s="53"/>
      <c r="E31" s="83">
        <f>_xlfn.IFS(B31="保险电阻",IF($S$8&gt;15000,95%,100%),B31="贴片电阻",IF($S$8&gt;35000,100%,IF($S$8&gt;15000,100%,100%)),B31="插件电阻",IF($S$8&gt;35000,100%,100%))</f>
        <v>1</v>
      </c>
      <c r="F31" s="53" t="s">
        <v>24</v>
      </c>
      <c r="G31" s="53" t="s">
        <v>24</v>
      </c>
      <c r="H31" s="84"/>
      <c r="I31" s="78">
        <f>IF($S$8&gt;35000,55%,IF($S$8&gt;15000,55%,60%))</f>
        <v>0.55</v>
      </c>
      <c r="J31" s="79" t="s">
        <v>24</v>
      </c>
      <c r="K31" s="80"/>
      <c r="L31" s="53" t="s">
        <v>24</v>
      </c>
      <c r="M31" s="53" t="s">
        <v>24</v>
      </c>
      <c r="N31" s="85">
        <v>1</v>
      </c>
      <c r="O31" s="54" t="e">
        <f>N31/D31</f>
        <v>#DIV/0!</v>
      </c>
      <c r="P31" s="58" t="e">
        <f>IF(O31&lt;=$E31,"合格","不合格")</f>
        <v>#DIV/0!</v>
      </c>
      <c r="Q31" s="81" t="e">
        <f t="shared" ref="Q30:Q32" si="10">R31*R31/V31</f>
        <v>#DIV/0!</v>
      </c>
      <c r="R31" s="82"/>
      <c r="S31" s="54" t="e">
        <f t="shared" si="8"/>
        <v>#DIV/0!</v>
      </c>
      <c r="T31" s="58" t="e">
        <f t="shared" si="9"/>
        <v>#DIV/0!</v>
      </c>
      <c r="U31" s="58" t="e">
        <f>IF(AND(T31="合格",P31="合格"),"合格","不合格")</f>
        <v>#DIV/0!</v>
      </c>
    </row>
    <row r="32" ht="19.9" customHeight="1" spans="1:24">
      <c r="A32" s="51" t="s">
        <v>67</v>
      </c>
      <c r="B32" s="76" t="s">
        <v>68</v>
      </c>
      <c r="C32" s="86"/>
      <c r="D32" s="87"/>
      <c r="E32" s="83">
        <f>_xlfn.IFS(B32="保险电阻",IF($S$8&gt;15000,95%,100%),B32="贴片电阻",IF($S$8&gt;35000,100%,IF($S$8&gt;15000,100%,100%)),B32="插件电阻",IF($S$8&gt;35000,100%,100%))</f>
        <v>1</v>
      </c>
      <c r="F32" s="53" t="s">
        <v>24</v>
      </c>
      <c r="G32" s="53" t="s">
        <v>24</v>
      </c>
      <c r="H32" s="88"/>
      <c r="I32" s="78">
        <f>IF($S$8&gt;35000,50%,IF($S$8&gt;15000,55%,65%))</f>
        <v>0.5</v>
      </c>
      <c r="J32" s="79" t="s">
        <v>24</v>
      </c>
      <c r="K32" s="80"/>
      <c r="L32" s="53" t="s">
        <v>24</v>
      </c>
      <c r="M32" s="53" t="s">
        <v>24</v>
      </c>
      <c r="N32" s="89">
        <v>1</v>
      </c>
      <c r="O32" s="63" t="e">
        <f>N32/D32</f>
        <v>#DIV/0!</v>
      </c>
      <c r="P32" s="90" t="e">
        <f>IF(O32&lt;=$E32,"合格","不合格")</f>
        <v>#DIV/0!</v>
      </c>
      <c r="Q32" s="81" t="e">
        <f t="shared" si="10"/>
        <v>#DIV/0!</v>
      </c>
      <c r="R32" s="91"/>
      <c r="S32" s="63" t="e">
        <f t="shared" si="8"/>
        <v>#DIV/0!</v>
      </c>
      <c r="T32" s="90" t="e">
        <f t="shared" si="9"/>
        <v>#DIV/0!</v>
      </c>
      <c r="U32" s="58" t="e">
        <f>IF(AND(T32="合格",P32="合格"),"合格","不合格")</f>
        <v>#DIV/0!</v>
      </c>
    </row>
    <row r="33" ht="19.9" customHeight="1" spans="1:21">
      <c r="A33" s="92" t="s">
        <v>69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</row>
    <row r="34" ht="33" customHeight="1" spans="1:21">
      <c r="A34" s="95" t="s">
        <v>70</v>
      </c>
      <c r="B34" s="96"/>
      <c r="C34" s="97" t="s">
        <v>24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</row>
  </sheetData>
  <mergeCells count="95">
    <mergeCell ref="A1:U1"/>
    <mergeCell ref="A2:U2"/>
    <mergeCell ref="A3:U3"/>
    <mergeCell ref="A4:U4"/>
    <mergeCell ref="A5:E5"/>
    <mergeCell ref="A6:D6"/>
    <mergeCell ref="E6:L6"/>
    <mergeCell ref="M6:O6"/>
    <mergeCell ref="P6:U6"/>
    <mergeCell ref="A7:B7"/>
    <mergeCell ref="C7:D7"/>
    <mergeCell ref="E7:U7"/>
    <mergeCell ref="A8:R8"/>
    <mergeCell ref="S8:U8"/>
    <mergeCell ref="D9:I9"/>
    <mergeCell ref="J9:L9"/>
    <mergeCell ref="M9:R9"/>
    <mergeCell ref="H12:I12"/>
    <mergeCell ref="T12:U12"/>
    <mergeCell ref="H13:I13"/>
    <mergeCell ref="T13:U13"/>
    <mergeCell ref="H14:I14"/>
    <mergeCell ref="T14:U14"/>
    <mergeCell ref="H15:I15"/>
    <mergeCell ref="T15:U15"/>
    <mergeCell ref="H16:I16"/>
    <mergeCell ref="T16:U16"/>
    <mergeCell ref="H17:I17"/>
    <mergeCell ref="T17:U17"/>
    <mergeCell ref="H18:I18"/>
    <mergeCell ref="T18:U18"/>
    <mergeCell ref="H19:I19"/>
    <mergeCell ref="T19:U19"/>
    <mergeCell ref="H20:I20"/>
    <mergeCell ref="T20:U20"/>
    <mergeCell ref="H21:I21"/>
    <mergeCell ref="T21:U21"/>
    <mergeCell ref="H22:I22"/>
    <mergeCell ref="T22:U22"/>
    <mergeCell ref="H23:I23"/>
    <mergeCell ref="T23:U23"/>
    <mergeCell ref="H24:I24"/>
    <mergeCell ref="T24:U24"/>
    <mergeCell ref="H25:I25"/>
    <mergeCell ref="T25:U25"/>
    <mergeCell ref="H26:I26"/>
    <mergeCell ref="T26:U26"/>
    <mergeCell ref="D27:I27"/>
    <mergeCell ref="J27:T27"/>
    <mergeCell ref="J30:K30"/>
    <mergeCell ref="J31:K31"/>
    <mergeCell ref="J32:K32"/>
    <mergeCell ref="A33:B33"/>
    <mergeCell ref="C33:U33"/>
    <mergeCell ref="A34:B34"/>
    <mergeCell ref="C34:U34"/>
    <mergeCell ref="A9:A11"/>
    <mergeCell ref="A27:A29"/>
    <mergeCell ref="B9:B11"/>
    <mergeCell ref="B27:B29"/>
    <mergeCell ref="C9:C11"/>
    <mergeCell ref="C27:C29"/>
    <mergeCell ref="D10:D11"/>
    <mergeCell ref="D28:D29"/>
    <mergeCell ref="E10:E11"/>
    <mergeCell ref="E28:E29"/>
    <mergeCell ref="F10:F11"/>
    <mergeCell ref="F28:F29"/>
    <mergeCell ref="G10:G11"/>
    <mergeCell ref="G28:G29"/>
    <mergeCell ref="H28:H29"/>
    <mergeCell ref="I28:I29"/>
    <mergeCell ref="J10:J11"/>
    <mergeCell ref="K10:K11"/>
    <mergeCell ref="L10:L11"/>
    <mergeCell ref="L28:L29"/>
    <mergeCell ref="M10:M11"/>
    <mergeCell ref="M28:M29"/>
    <mergeCell ref="N10:N11"/>
    <mergeCell ref="N28:N29"/>
    <mergeCell ref="O10:O11"/>
    <mergeCell ref="O28:O29"/>
    <mergeCell ref="P10:P11"/>
    <mergeCell ref="P28:P29"/>
    <mergeCell ref="Q10:Q11"/>
    <mergeCell ref="Q28:Q29"/>
    <mergeCell ref="R10:R11"/>
    <mergeCell ref="R28:R29"/>
    <mergeCell ref="S9:S11"/>
    <mergeCell ref="S28:S29"/>
    <mergeCell ref="T28:T29"/>
    <mergeCell ref="U27:U29"/>
    <mergeCell ref="T9:U11"/>
    <mergeCell ref="H10:I11"/>
    <mergeCell ref="J28:K29"/>
  </mergeCells>
  <conditionalFormatting sqref="R17">
    <cfRule type="cellIs" dxfId="0" priority="2" operator="equal">
      <formula>"合格"</formula>
    </cfRule>
    <cfRule type="cellIs" dxfId="1" priority="1" operator="equal">
      <formula>"不合格"</formula>
    </cfRule>
  </conditionalFormatting>
  <conditionalFormatting sqref="E31:E32">
    <cfRule type="cellIs" dxfId="0" priority="36" operator="equal">
      <formula>"合格"</formula>
    </cfRule>
    <cfRule type="cellIs" dxfId="1" priority="35" operator="equal">
      <formula>"不合格"</formula>
    </cfRule>
  </conditionalFormatting>
  <conditionalFormatting sqref="I30:I32">
    <cfRule type="cellIs" dxfId="0" priority="34" operator="equal">
      <formula>"合格"</formula>
    </cfRule>
    <cfRule type="cellIs" dxfId="1" priority="33" operator="equal">
      <formula>"不合格"</formula>
    </cfRule>
  </conditionalFormatting>
  <conditionalFormatting sqref="L12:L13">
    <cfRule type="cellIs" dxfId="0" priority="26" operator="equal">
      <formula>"合格"</formula>
    </cfRule>
    <cfRule type="cellIs" dxfId="1" priority="25" operator="equal">
      <formula>"不合格"</formula>
    </cfRule>
  </conditionalFormatting>
  <conditionalFormatting sqref="L15:L24">
    <cfRule type="cellIs" dxfId="0" priority="8" operator="equal">
      <formula>"合格"</formula>
    </cfRule>
    <cfRule type="cellIs" dxfId="1" priority="7" operator="equal">
      <formula>"不合格"</formula>
    </cfRule>
  </conditionalFormatting>
  <conditionalFormatting sqref="L25:L26">
    <cfRule type="cellIs" dxfId="0" priority="16" operator="equal">
      <formula>"合格"</formula>
    </cfRule>
    <cfRule type="cellIs" dxfId="1" priority="15" operator="equal">
      <formula>"不合格"</formula>
    </cfRule>
  </conditionalFormatting>
  <conditionalFormatting sqref="O12:O13">
    <cfRule type="cellIs" dxfId="0" priority="24" operator="equal">
      <formula>"合格"</formula>
    </cfRule>
    <cfRule type="cellIs" dxfId="1" priority="23" operator="equal">
      <formula>"不合格"</formula>
    </cfRule>
  </conditionalFormatting>
  <conditionalFormatting sqref="O15:O23">
    <cfRule type="cellIs" dxfId="0" priority="6" operator="equal">
      <formula>"合格"</formula>
    </cfRule>
    <cfRule type="cellIs" dxfId="1" priority="5" operator="equal">
      <formula>"不合格"</formula>
    </cfRule>
  </conditionalFormatting>
  <conditionalFormatting sqref="O25:O26">
    <cfRule type="cellIs" dxfId="0" priority="4" operator="equal">
      <formula>"合格"</formula>
    </cfRule>
    <cfRule type="cellIs" dxfId="1" priority="3" operator="equal">
      <formula>"不合格"</formula>
    </cfRule>
  </conditionalFormatting>
  <conditionalFormatting sqref="P31:P32">
    <cfRule type="cellIs" dxfId="0" priority="28" operator="equal">
      <formula>"合格"</formula>
    </cfRule>
    <cfRule type="cellIs" dxfId="1" priority="27" operator="equal">
      <formula>"不合格"</formula>
    </cfRule>
  </conditionalFormatting>
  <conditionalFormatting sqref="R12:R14">
    <cfRule type="cellIs" dxfId="0" priority="22" operator="equal">
      <formula>"合格"</formula>
    </cfRule>
    <cfRule type="cellIs" dxfId="1" priority="21" operator="equal">
      <formula>"不合格"</formula>
    </cfRule>
  </conditionalFormatting>
  <conditionalFormatting sqref="S12:S26">
    <cfRule type="cellIs" dxfId="0" priority="14" operator="equal">
      <formula>"合格"</formula>
    </cfRule>
    <cfRule type="cellIs" dxfId="1" priority="13" operator="equal">
      <formula>"不合格"</formula>
    </cfRule>
  </conditionalFormatting>
  <conditionalFormatting sqref="T30:U32">
    <cfRule type="cellIs" dxfId="0" priority="32" operator="equal">
      <formula>"合格"</formula>
    </cfRule>
    <cfRule type="cellIs" dxfId="1" priority="31" operator="equal">
      <formula>"不合格"</formula>
    </cfRule>
  </conditionalFormatting>
  <dataValidations count="1">
    <dataValidation allowBlank="1" showInputMessage="1" showErrorMessage="1" sqref="B12:B26 B30:B32"/>
  </dataValidations>
  <printOptions horizontalCentered="1"/>
  <pageMargins left="0.156944444444444" right="0.0784722222222222" top="0.156944444444444" bottom="0.196527777777778" header="0.196527777777778" footer="0"/>
  <pageSetup paperSize="9" scale="42" orientation="landscape" verticalDpi="180"/>
  <headerFooter/>
  <rowBreaks count="1" manualBreakCount="1">
    <brk id="3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电压模板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吴均峰</dc:creator>
  <cp:lastModifiedBy>sun</cp:lastModifiedBy>
  <dcterms:created xsi:type="dcterms:W3CDTF">2026-04-21T07:22:00Z</dcterms:created>
  <dcterms:modified xsi:type="dcterms:W3CDTF">2026-04-24T01:01:09Z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8D16048F912B4810B8922EF7887C258F_11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