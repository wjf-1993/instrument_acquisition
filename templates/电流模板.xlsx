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电流模板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1__123Graph_ACHART_1" hidden="1">[1]Roadmap!$AE$21:$AO$21</definedName>
    <definedName name="___10__123Graph_LBL_BCHART_19" hidden="1">'[2]Rejects PPM'!$AN$89:$BE$89</definedName>
    <definedName name="___11__123Graph_LBL_CCHART_19" hidden="1">'[2]Rejects PPM'!$AN$90:$BE$90</definedName>
    <definedName name="___12__123Graph_XCHART_20" hidden="1">'[2]Rejects PPM'!$AL$29:$AL$45</definedName>
    <definedName name="___123Graph_ACHART_1" hidden="1">[1]Roadmap!$AE$21:$AO$21</definedName>
    <definedName name="___123Graph_ACHART_19" hidden="1">'[2]Rejects PPM'!$AN$88:$AZ$88</definedName>
    <definedName name="___123Graph_ACHART_20" hidden="1">'[2]Rejects PPM'!$AN$29:$AN$44</definedName>
    <definedName name="___123Graph_BCHART_1" hidden="1">[1]Roadmap!$AE$22:$AT$22</definedName>
    <definedName name="___123Graph_BCHART_19" hidden="1">'[2]Rejects PPM'!$AN$89:$BE$89</definedName>
    <definedName name="___123Graph_CCHART_19" hidden="1">'[2]Rejects PPM'!$AN$90:$BE$90</definedName>
    <definedName name="___123Graph_LBL_ACHART_1" hidden="1">[1]Roadmap!$AE$24:$AN$24</definedName>
    <definedName name="___123Graph_LBL_ACHART_20" hidden="1">'[2]Rejects PPM'!$AN$29:$AN$45</definedName>
    <definedName name="___123Graph_LBL_BCHART_1" hidden="1">[1]Roadmap!$AE$25:$AT$25</definedName>
    <definedName name="___123Graph_LBL_BCHART_19" hidden="1">'[2]Rejects PPM'!$AN$89:$BE$89</definedName>
    <definedName name="___123Graph_LBL_CCHART_19" hidden="1">'[2]Rejects PPM'!$AN$90:$BE$90</definedName>
    <definedName name="___123Graph_XCHART_20" hidden="1">'[2]Rejects PPM'!$AL$29:$AL$45</definedName>
    <definedName name="___2__123Graph_ACHART_19" hidden="1">'[2]Rejects PPM'!$AN$88:$AZ$88</definedName>
    <definedName name="___3__123Graph_ACHART_20" hidden="1">'[2]Rejects PPM'!$AN$29:$AN$44</definedName>
    <definedName name="___4__123Graph_BCHART_1" hidden="1">[1]Roadmap!$AE$22:$AT$22</definedName>
    <definedName name="___5__123Graph_BCHART_19" hidden="1">'[2]Rejects PPM'!$AN$89:$BE$89</definedName>
    <definedName name="___6__123Graph_CCHART_19" hidden="1">'[2]Rejects PPM'!$AN$90:$BE$90</definedName>
    <definedName name="___7__123Graph_LBL_ACHART_1" hidden="1">[1]Roadmap!$AE$24:$AN$24</definedName>
    <definedName name="___8__123Graph_LBL_ACHART_20" hidden="1">'[2]Rejects PPM'!$AN$29:$AN$45</definedName>
    <definedName name="___9__123Graph_LBL_BCHART_1" hidden="1">[1]Roadmap!$AE$25:$AT$25</definedName>
    <definedName name="__1__123Graph_ACHART_1" hidden="1">[1]Roadmap!$AE$21:$AO$21</definedName>
    <definedName name="__10__123Graph_LBL_BCHART_19" hidden="1">'[2]Rejects PPM'!$AN$89:$BE$89</definedName>
    <definedName name="__11__123Graph_LBL_CCHART_19" hidden="1">'[2]Rejects PPM'!$AN$90:$BE$90</definedName>
    <definedName name="__12__123Graph_XCHART_20" hidden="1">'[2]Rejects PPM'!$AL$29:$AL$45</definedName>
    <definedName name="__2__123Graph_ACHART_19" hidden="1">'[2]Rejects PPM'!$AN$88:$AZ$88</definedName>
    <definedName name="__3__123Graph_ACHART_20" hidden="1">'[2]Rejects PPM'!$AN$29:$AN$44</definedName>
    <definedName name="__4__123Graph_BCHART_1" hidden="1">[1]Roadmap!$AE$22:$AT$22</definedName>
    <definedName name="__5__123Graph_BCHART_19" hidden="1">'[2]Rejects PPM'!$AN$89:$BE$89</definedName>
    <definedName name="__6__123Graph_CCHART_19" hidden="1">'[2]Rejects PPM'!$AN$90:$BE$90</definedName>
    <definedName name="__7__123Graph_LBL_ACHART_1" hidden="1">[1]Roadmap!$AE$24:$AN$24</definedName>
    <definedName name="__8__123Graph_LBL_ACHART_20" hidden="1">'[2]Rejects PPM'!$AN$29:$AN$45</definedName>
    <definedName name="__9__123Graph_LBL_BCHART_1" hidden="1">[1]Roadmap!$AE$25:$AT$25</definedName>
    <definedName name="__DemandLoad">TRUE</definedName>
    <definedName name="_Order1" hidden="1">0</definedName>
    <definedName name="AABBB">[4]灯管加工1!$I$5</definedName>
    <definedName name="AccessDatabase" hidden="1">"C:\anaysis logs\Database.mdb"</definedName>
    <definedName name="anscount" hidden="1">2</definedName>
    <definedName name="Chamber3">'[3]Thermal Template'!$T$11:$T$14</definedName>
    <definedName name="Chambers">'[3]Thermal Template'!$G$2:$G$8</definedName>
    <definedName name="limcount" hidden="1">2</definedName>
    <definedName name="naam">"Chart 2"</definedName>
    <definedName name="oven">'[5]Thermal Template'!$G$2:$G$10</definedName>
    <definedName name="sencount" hidden="1">3</definedName>
    <definedName name="wwss">'[6]Foto Produto'!#REF!</definedName>
    <definedName name="China">[7]Approbation!$E$31:$E$40</definedName>
    <definedName name="EU">[7]Approbation!$E$12:$E$19</definedName>
    <definedName name="GCGM_excl_CN">[7]Approbation!$E$52:$E$59</definedName>
    <definedName name="Latam_Brazil">[7]Approbation!$E$70:$E$76</definedName>
    <definedName name="Latam_Except_Brazil">[7]Approbation!$E$78:$E$86</definedName>
    <definedName name="NAM">[7]Approbation!$E$21:$E$29</definedName>
    <definedName name="项目经理">[10]封面!$D$29</definedName>
    <definedName name="项目经理时间">[10]封面!$E$29</definedName>
    <definedName name="亮度均匀度">[8]CCC监督安全首页!#REF!</definedName>
    <definedName name="______123Graph_ACHART_1" hidden="1">[1]Roadmap!$AE$21:$AO$21</definedName>
    <definedName name="______123Graph_ACHART_19" hidden="1">'[2]Rejects PPM'!$AN$88:$AZ$88</definedName>
    <definedName name="______123Graph_ACHART_20" hidden="1">'[2]Rejects PPM'!$AN$29:$AN$44</definedName>
    <definedName name="______123Graph_BCHART_1" hidden="1">[1]Roadmap!$AE$22:$AT$22</definedName>
    <definedName name="______123Graph_BCHART_19" hidden="1">'[2]Rejects PPM'!$AN$89:$BE$89</definedName>
    <definedName name="______123Graph_CCHART_19" hidden="1">'[2]Rejects PPM'!$AN$90:$BE$90</definedName>
    <definedName name="______123Graph_LBL_ACHART_1" hidden="1">[1]Roadmap!$AE$24:$AN$24</definedName>
    <definedName name="______123Graph_LBL_ACHART_20" hidden="1">'[2]Rejects PPM'!$AN$29:$AN$45</definedName>
    <definedName name="______123Graph_LBL_BCHART_1" hidden="1">[1]Roadmap!$AE$25:$AT$25</definedName>
    <definedName name="______123Graph_LBL_BCHART_19" hidden="1">'[2]Rejects PPM'!$AN$89:$BE$89</definedName>
    <definedName name="______123Graph_LBL_CCHART_19" hidden="1">'[2]Rejects PPM'!$AN$90:$BE$90</definedName>
    <definedName name="______123Graph_XCHART_20" hidden="1">'[2]Rejects PPM'!$AL$29:$AL$45</definedName>
    <definedName name="_____123Graph_ACHART_1" hidden="1">[1]Roadmap!$AE$21:$AO$21</definedName>
    <definedName name="_____123Graph_ACHART_19" hidden="1">'[2]Rejects PPM'!$AN$88:$AZ$88</definedName>
    <definedName name="_____123Graph_ACHART_20" hidden="1">'[2]Rejects PPM'!$AN$29:$AN$44</definedName>
    <definedName name="_____123Graph_BCHART_1" hidden="1">[1]Roadmap!$AE$22:$AT$22</definedName>
    <definedName name="_____123Graph_BCHART_19" hidden="1">'[2]Rejects PPM'!$AN$89:$BE$89</definedName>
    <definedName name="_____123Graph_CCHART_19" hidden="1">'[2]Rejects PPM'!$AN$90:$BE$90</definedName>
    <definedName name="_____123Graph_LBL_ACHART_1" hidden="1">[1]Roadmap!$AE$24:$AN$24</definedName>
    <definedName name="_____123Graph_LBL_ACHART_20" hidden="1">'[2]Rejects PPM'!$AN$29:$AN$45</definedName>
    <definedName name="_____123Graph_LBL_BCHART_1" hidden="1">[1]Roadmap!$AE$25:$AT$25</definedName>
    <definedName name="_____123Graph_LBL_BCHART_19" hidden="1">'[2]Rejects PPM'!$AN$89:$BE$89</definedName>
    <definedName name="_____123Graph_LBL_CCHART_19" hidden="1">'[2]Rejects PPM'!$AN$90:$BE$90</definedName>
    <definedName name="_____123Graph_XCHART_20" hidden="1">'[2]Rejects PPM'!$AL$29:$AL$45</definedName>
    <definedName name="____123Graph_ACHART_1" hidden="1">[1]Roadmap!$AE$21:$AO$21</definedName>
    <definedName name="____123Graph_ACHART_19" hidden="1">'[2]Rejects PPM'!$AN$88:$AZ$88</definedName>
    <definedName name="____123Graph_ACHART_20" hidden="1">'[2]Rejects PPM'!$AN$29:$AN$44</definedName>
    <definedName name="____123Graph_BCHART_1" hidden="1">[1]Roadmap!$AE$22:$AT$22</definedName>
    <definedName name="____123Graph_BCHART_19" hidden="1">'[2]Rejects PPM'!$AN$89:$BE$89</definedName>
    <definedName name="____123Graph_CCHART_19" hidden="1">'[2]Rejects PPM'!$AN$90:$BE$90</definedName>
    <definedName name="____123Graph_LBL_ACHART_1" hidden="1">[1]Roadmap!$AE$24:$AN$24</definedName>
    <definedName name="____123Graph_LBL_ACHART_20" hidden="1">'[2]Rejects PPM'!$AN$29:$AN$45</definedName>
    <definedName name="____123Graph_LBL_BCHART_1" hidden="1">[1]Roadmap!$AE$25:$AT$25</definedName>
    <definedName name="____123Graph_LBL_BCHART_19" hidden="1">'[2]Rejects PPM'!$AN$89:$BE$89</definedName>
    <definedName name="____123Graph_LBL_CCHART_19" hidden="1">'[2]Rejects PPM'!$AN$90:$BE$90</definedName>
    <definedName name="____123Graph_XCHART_20" hidden="1">'[2]Rejects PPM'!$AL$29:$AL$45</definedName>
    <definedName name="SFACVGv">[11]dSDCM!$A$1</definedName>
    <definedName name="实地hpf">[12]OVP!$C$6</definedName>
    <definedName name="QQW" hidden="1">[1]Roadmap!#REF!</definedName>
    <definedName name="www" hidden="1">[1]Roadmap!#REF!</definedName>
    <definedName name="datre">#REF!</definedName>
    <definedName name="sdfosifs">#REF!</definedName>
    <definedName name="的">#REF!</definedName>
    <definedName name="东方闪电">#REF!</definedName>
    <definedName name="水电费水电费是地方">#REF!</definedName>
    <definedName name="QQQ">#REF!</definedName>
    <definedName name="_Parse_In" hidden="1">#REF!</definedName>
    <definedName name="_Parse_Out" hidden="1">#REF!</definedName>
    <definedName name="activation_feuille" hidden="1">#REF!</definedName>
    <definedName name="GO" hidden="1">#REF!</definedName>
    <definedName name="zz">#REF!</definedName>
    <definedName name="WP">#REF!</definedName>
    <definedName name="啊">#REF!</definedName>
    <definedName name="distance3">VLOOKUP('[13]Creepage and clearance A'!voltage3,[13]volPTI!$I$1:$L$7,[9]!hloc1,0)</definedName>
    <definedName name="distance4">VLOOKUP('[13]Creepage and clearance A'!voltage4,[13]volPTI!$I$1:$L$7,[9]!hloc1,0)</definedName>
    <definedName name="刘晓">#REF!</definedName>
    <definedName name="_10_HN">[15]LOSSTMP1!$BA$1:$BF$659</definedName>
    <definedName name="AIA">#REF!</definedName>
    <definedName name="AIA_26">#REF!</definedName>
    <definedName name="AIA_36">#REF!</definedName>
    <definedName name="AIA_8">#REF!</definedName>
    <definedName name="AIAP">#REF!</definedName>
    <definedName name="AIAP_26">#REF!</definedName>
    <definedName name="AIAP_36">#REF!</definedName>
    <definedName name="AIAP_8">#REF!</definedName>
    <definedName name="AIAPZ">#REF!</definedName>
    <definedName name="AIAPZ_26">#REF!</definedName>
    <definedName name="AIAPZ_36">#REF!</definedName>
    <definedName name="AIAPZ_8">#REF!</definedName>
    <definedName name="AIAS">#REF!</definedName>
    <definedName name="AIAS_26">#REF!</definedName>
    <definedName name="AIAS_36">#REF!</definedName>
    <definedName name="AIAS_8">#REF!</definedName>
    <definedName name="AIAZ">#REF!</definedName>
    <definedName name="AIAZ_26">#REF!</definedName>
    <definedName name="AIAZ_36">#REF!</definedName>
    <definedName name="AIAZ_8">#REF!</definedName>
    <definedName name="AIC">#REF!</definedName>
    <definedName name="AIC_26">#REF!</definedName>
    <definedName name="AIC_36">#REF!</definedName>
    <definedName name="AIC_8">#REF!</definedName>
    <definedName name="AICB">#REF!</definedName>
    <definedName name="AICB_26">#REF!</definedName>
    <definedName name="AICB_36">#REF!</definedName>
    <definedName name="AICB_8">#REF!</definedName>
    <definedName name="AICBL">#REF!</definedName>
    <definedName name="AICBL_26">#REF!</definedName>
    <definedName name="AICBL_36">#REF!</definedName>
    <definedName name="AICBL_8">#REF!</definedName>
    <definedName name="AICR">#REF!</definedName>
    <definedName name="AICR_26">#REF!</definedName>
    <definedName name="AICR_36">#REF!</definedName>
    <definedName name="AICR_8">#REF!</definedName>
    <definedName name="AIR">#REF!</definedName>
    <definedName name="AIR_26">#REF!</definedName>
    <definedName name="AIR_36">#REF!</definedName>
    <definedName name="AIR_8">#REF!</definedName>
    <definedName name="AIRC">#REF!</definedName>
    <definedName name="AIRC_26">#REF!</definedName>
    <definedName name="AIRC_36">#REF!</definedName>
    <definedName name="AIRC_8">#REF!</definedName>
    <definedName name="AIRP">#REF!</definedName>
    <definedName name="AIRP_26">#REF!</definedName>
    <definedName name="AIRP_36">#REF!</definedName>
    <definedName name="AIRP_8">#REF!</definedName>
    <definedName name="airpp">#REF!</definedName>
    <definedName name="AIRPZ">#REF!</definedName>
    <definedName name="AIRPZ_26">#REF!</definedName>
    <definedName name="AIRPZ_36">#REF!</definedName>
    <definedName name="AIRPZ_8">#REF!</definedName>
    <definedName name="AIRS">#REF!</definedName>
    <definedName name="AIRS_26">#REF!</definedName>
    <definedName name="AIRS_36">#REF!</definedName>
    <definedName name="AIRS_8">#REF!</definedName>
    <definedName name="airss">#REF!</definedName>
    <definedName name="AIRZ">#REF!</definedName>
    <definedName name="AIRZ_26">#REF!</definedName>
    <definedName name="AIRZ_36">#REF!</definedName>
    <definedName name="AIRZ_8">#REF!</definedName>
    <definedName name="airzz">#REF!</definedName>
    <definedName name="AWG">[15]WDGSPEC!$A$1220:$J$1875</definedName>
    <definedName name="BL">#REF!</definedName>
    <definedName name="BL_26">#REF!</definedName>
    <definedName name="BL_36">#REF!</definedName>
    <definedName name="BL_8">#REF!</definedName>
    <definedName name="BLZ">#REF!</definedName>
    <definedName name="BLZ_26">#REF!</definedName>
    <definedName name="BLZ_36">#REF!</definedName>
    <definedName name="BLZ_8">#REF!</definedName>
    <definedName name="BOBBIN">[15]WDGSPEC!$A$870:$H$1102</definedName>
    <definedName name="BPP">#REF!</definedName>
    <definedName name="BPP_26">#REF!</definedName>
    <definedName name="BPP_36">#REF!</definedName>
    <definedName name="BPP_8">#REF!</definedName>
    <definedName name="CALC">[15]WDGSPEC!$A$62</definedName>
    <definedName name="cc_8">[16]B_O_M_!$U$8</definedName>
    <definedName name="CI">#REF!</definedName>
    <definedName name="CI_26">#REF!</definedName>
    <definedName name="CI_36">#REF!</definedName>
    <definedName name="CI_8">#REF!</definedName>
    <definedName name="CIZ">#REF!</definedName>
    <definedName name="CIZ_26">#REF!</definedName>
    <definedName name="CIZ_36">#REF!</definedName>
    <definedName name="CIZ_8">#REF!</definedName>
    <definedName name="Core_Size">[15]LOSSTMP1!$B$41:$I$88</definedName>
    <definedName name="COREDATA">[15]BFORMULA!$B$67:$O$113</definedName>
    <definedName name="CTN">#REF!</definedName>
    <definedName name="CTN_26">#REF!</definedName>
    <definedName name="CTN_36">#REF!</definedName>
    <definedName name="CTN_8">#REF!</definedName>
    <definedName name="CTNZ">#REF!</definedName>
    <definedName name="CTNZ_26">#REF!</definedName>
    <definedName name="CTNZ_36">#REF!</definedName>
    <definedName name="CTNZ_8">#REF!</definedName>
    <definedName name="CY">#REF!</definedName>
    <definedName name="CY_26">#REF!</definedName>
    <definedName name="CY_36">#REF!</definedName>
    <definedName name="CY_8">#REF!</definedName>
    <definedName name="dataB">#REF!</definedName>
    <definedName name="Database">#REF!</definedName>
    <definedName name="DS">#REF!</definedName>
    <definedName name="DS_26">#REF!</definedName>
    <definedName name="DS_36">#REF!</definedName>
    <definedName name="DS_8">#REF!</definedName>
    <definedName name="DSZ">#REF!</definedName>
    <definedName name="DSZ_26">#REF!</definedName>
    <definedName name="DSZ_36">#REF!</definedName>
    <definedName name="DSZ_8">#REF!</definedName>
    <definedName name="EE10_11">[15]BFORMULA!$B$67:$O$113</definedName>
    <definedName name="Excel_BuiltIn_Database">#REF!</definedName>
    <definedName name="Excel_BuiltIn_Database_19">#REF!</definedName>
    <definedName name="Excel_BuiltIn_Database_26">#REF!</definedName>
    <definedName name="Excel_BuiltIn_Database_36">#REF!</definedName>
    <definedName name="Excel_BuiltIn_Database_8">#REF!</definedName>
    <definedName name="Excel_BuiltIn_Print_Area">[14]BFORMULA!$A$1:$G$40</definedName>
    <definedName name="Excel_BuiltIn_Print_Area_4">'[17]Excel Design Specs'!#REF!</definedName>
    <definedName name="FL">#REF!</definedName>
    <definedName name="FL_26">#REF!</definedName>
    <definedName name="FL_36">#REF!</definedName>
    <definedName name="FL_8">#REF!</definedName>
    <definedName name="FLZ">#REF!</definedName>
    <definedName name="FLZ_26">#REF!</definedName>
    <definedName name="FLZ_36">#REF!</definedName>
    <definedName name="FLZ_8">#REF!</definedName>
    <definedName name="FTEST">#REF!</definedName>
    <definedName name="FTEST_26">#REF!</definedName>
    <definedName name="FTEST_36">#REF!</definedName>
    <definedName name="FTEST_8">#REF!</definedName>
    <definedName name="FTESTZ">#REF!</definedName>
    <definedName name="FTESTZ_26">#REF!</definedName>
    <definedName name="FTESTZ_36">#REF!</definedName>
    <definedName name="FTESTZ_8">#REF!</definedName>
    <definedName name="GR">#REF!</definedName>
    <definedName name="GR_26">#REF!</definedName>
    <definedName name="GR_36">#REF!</definedName>
    <definedName name="GR_8">#REF!</definedName>
    <definedName name="GRZ">#REF!</definedName>
    <definedName name="GRZ_26">#REF!</definedName>
    <definedName name="GRZ_36">#REF!</definedName>
    <definedName name="GRZ_8">#REF!</definedName>
    <definedName name="HAG">#REF!</definedName>
    <definedName name="HAG_26">#REF!</definedName>
    <definedName name="HAG_36">#REF!</definedName>
    <definedName name="HAG_8">#REF!</definedName>
    <definedName name="HAGZ">#REF!</definedName>
    <definedName name="HAGZ_26">#REF!</definedName>
    <definedName name="HAGZ_36">#REF!</definedName>
    <definedName name="HAGZ_8">#REF!</definedName>
    <definedName name="HAM">#REF!</definedName>
    <definedName name="HAM_26">#REF!</definedName>
    <definedName name="HAM_36">#REF!</definedName>
    <definedName name="HAM_8">#REF!</definedName>
    <definedName name="HAMZ">#REF!</definedName>
    <definedName name="HAMZ_26">#REF!</definedName>
    <definedName name="HAMZ_36">#REF!</definedName>
    <definedName name="HAMZ_8">#REF!</definedName>
    <definedName name="HOME">[15]WDGSPEC!$A$1</definedName>
    <definedName name="HTEST">#REF!</definedName>
    <definedName name="HTEST_26">#REF!</definedName>
    <definedName name="HTEST_36">#REF!</definedName>
    <definedName name="HTEST_8">#REF!</definedName>
    <definedName name="HTESTZ">#REF!</definedName>
    <definedName name="HTESTZ_26">#REF!</definedName>
    <definedName name="HTESTZ_36">#REF!</definedName>
    <definedName name="HTESTZ_8">#REF!</definedName>
    <definedName name="INS">#REF!</definedName>
    <definedName name="INS_26">#REF!</definedName>
    <definedName name="INS_36">#REF!</definedName>
    <definedName name="INS_8">#REF!</definedName>
    <definedName name="INSZ">#REF!</definedName>
    <definedName name="INSZ_26">#REF!</definedName>
    <definedName name="INSZ_36">#REF!</definedName>
    <definedName name="INSZ_8">#REF!</definedName>
    <definedName name="L_26">#REF!</definedName>
    <definedName name="L_36">#REF!</definedName>
    <definedName name="L_8">#REF!</definedName>
    <definedName name="LABOR">#REF!</definedName>
    <definedName name="LABOR_26">#REF!</definedName>
    <definedName name="LABOR_36">#REF!</definedName>
    <definedName name="LABOR_8">#REF!</definedName>
    <definedName name="LC">#REF!</definedName>
    <definedName name="LC_26">#REF!</definedName>
    <definedName name="LC_36">#REF!</definedName>
    <definedName name="LC_8">#REF!</definedName>
    <definedName name="LCZ">#REF!</definedName>
    <definedName name="LCZ_26">#REF!</definedName>
    <definedName name="LCZ_36">#REF!</definedName>
    <definedName name="LCZ_8">#REF!</definedName>
    <definedName name="LWZ">#REF!</definedName>
    <definedName name="LWZ_26">#REF!</definedName>
    <definedName name="LWZ_36">#REF!</definedName>
    <definedName name="LWZ_8">#REF!</definedName>
    <definedName name="LZ">#REF!</definedName>
    <definedName name="LZ_26">#REF!</definedName>
    <definedName name="LZ_36">#REF!</definedName>
    <definedName name="LZ_8">#REF!</definedName>
    <definedName name="MH">#REF!</definedName>
    <definedName name="MH_26">#REF!</definedName>
    <definedName name="MH_36">#REF!</definedName>
    <definedName name="MH_8">#REF!</definedName>
    <definedName name="MHZ">#REF!</definedName>
    <definedName name="MHZ_26">#REF!</definedName>
    <definedName name="MHZ_36">#REF!</definedName>
    <definedName name="MHZ_8">#REF!</definedName>
    <definedName name="MR">#REF!</definedName>
    <definedName name="MR_26">#REF!</definedName>
    <definedName name="MR_36">#REF!</definedName>
    <definedName name="MR_8">#REF!</definedName>
    <definedName name="MRZ">#REF!</definedName>
    <definedName name="MRZ_26">#REF!</definedName>
    <definedName name="MRZ_36">#REF!</definedName>
    <definedName name="MRZ_8">#REF!</definedName>
    <definedName name="of_Pwb_panel">#REF!</definedName>
    <definedName name="of_Pwb_panel_26">#REF!</definedName>
    <definedName name="of_Pwb_panel_36">#REF!</definedName>
    <definedName name="of_Pwb_panel_8">#REF!</definedName>
    <definedName name="OLE_LINK1_22">[17]Re_lamping!$B$12</definedName>
    <definedName name="OLE_LINK1_23">'[17]Aux Power'!#REF!</definedName>
    <definedName name="PI">#REF!</definedName>
    <definedName name="PI_26">#REF!</definedName>
    <definedName name="PI_36">#REF!</definedName>
    <definedName name="PI_8">#REF!</definedName>
    <definedName name="PIZ">#REF!</definedName>
    <definedName name="PIZ_26">#REF!</definedName>
    <definedName name="PIZ_36">#REF!</definedName>
    <definedName name="PIZ_8">#REF!</definedName>
    <definedName name="POTR">#REF!</definedName>
    <definedName name="POTR_26">#REF!</definedName>
    <definedName name="POTR_36">#REF!</definedName>
    <definedName name="POTR_8">#REF!</definedName>
    <definedName name="POTRZ">#REF!</definedName>
    <definedName name="POTRZ_26">#REF!</definedName>
    <definedName name="POTRZ_36">#REF!</definedName>
    <definedName name="POTRZ_8">#REF!</definedName>
    <definedName name="PRI_ACR">[15]LOSSTMP1!$AA$1:$AH$25</definedName>
    <definedName name="PRINT_AREA_MI">[15]BFORMULA!$A$1:$G$40</definedName>
    <definedName name="PWBR">#REF!</definedName>
    <definedName name="PWBR_26">#REF!</definedName>
    <definedName name="PWBR_36">#REF!</definedName>
    <definedName name="PWBR_8">#REF!</definedName>
    <definedName name="PWBRZ">#REF!</definedName>
    <definedName name="PWBRZ_26">#REF!</definedName>
    <definedName name="PWBRZ_36">#REF!</definedName>
    <definedName name="PWBRZ_8">#REF!</definedName>
    <definedName name="RATE">#REF!</definedName>
    <definedName name="RATE_26">#REF!</definedName>
    <definedName name="RATE_36">#REF!</definedName>
    <definedName name="RATE_8">#REF!</definedName>
    <definedName name="SEC_ACR">[15]LOSSTMP1!$AA$49:$AH$74</definedName>
    <definedName name="SET">#REF!</definedName>
    <definedName name="SFT">#REF!</definedName>
    <definedName name="SFT_26">#REF!</definedName>
    <definedName name="SFT_36">#REF!</definedName>
    <definedName name="SFT_8">#REF!</definedName>
    <definedName name="SFTZ">#REF!</definedName>
    <definedName name="SFTZ_26">#REF!</definedName>
    <definedName name="SFTZ_36">#REF!</definedName>
    <definedName name="SFTZ_8">#REF!</definedName>
    <definedName name="SMC">#REF!</definedName>
    <definedName name="SMC_26">#REF!</definedName>
    <definedName name="SMC_36">#REF!</definedName>
    <definedName name="SMC_8">#REF!</definedName>
    <definedName name="SMCC">#REF!</definedName>
    <definedName name="SMCC_26">#REF!</definedName>
    <definedName name="SMCC_36">#REF!</definedName>
    <definedName name="SMCC_8">#REF!</definedName>
    <definedName name="SMT">#REF!</definedName>
    <definedName name="SMT_26">#REF!</definedName>
    <definedName name="SMT_36">#REF!</definedName>
    <definedName name="SMT_8">#REF!</definedName>
    <definedName name="SMTZ">#REF!</definedName>
    <definedName name="SMTZ_26">#REF!</definedName>
    <definedName name="SMTZ_36">#REF!</definedName>
    <definedName name="SMTZ_8">#REF!</definedName>
    <definedName name="SP">#REF!</definedName>
    <definedName name="SP_26">#REF!</definedName>
    <definedName name="SP_36">#REF!</definedName>
    <definedName name="SP_8">#REF!</definedName>
    <definedName name="SPZ">#REF!</definedName>
    <definedName name="SPZ_26">#REF!</definedName>
    <definedName name="SPZ_36">#REF!</definedName>
    <definedName name="SPZ_8">#REF!</definedName>
    <definedName name="SUM">[18]B.O.M!#REF!</definedName>
    <definedName name="SUM_26">#REF!</definedName>
    <definedName name="SUM_36">#REF!</definedName>
    <definedName name="SUM_8">#REF!</definedName>
    <definedName name="TABLE">#REF!</definedName>
    <definedName name="TABLE_26">#REF!</definedName>
    <definedName name="TABLE_36">#REF!</definedName>
    <definedName name="TABLE_8">#REF!</definedName>
    <definedName name="TAPE">[15]WDGSPEC!$A$1117:$B$1127</definedName>
    <definedName name="TL">#REF!</definedName>
    <definedName name="TL_26">#REF!</definedName>
    <definedName name="TL_36">#REF!</definedName>
    <definedName name="TL_8">#REF!</definedName>
    <definedName name="TLZ">#REF!</definedName>
    <definedName name="TLZ_26">#REF!</definedName>
    <definedName name="TLZ_36">#REF!</definedName>
    <definedName name="TLZ_8">#REF!</definedName>
    <definedName name="V_26">#REF!</definedName>
    <definedName name="V_36">#REF!</definedName>
    <definedName name="V_8">#REF!</definedName>
    <definedName name="VA">#REF!</definedName>
    <definedName name="VA_26">#REF!</definedName>
    <definedName name="VA_36">#REF!</definedName>
    <definedName name="VA_8">#REF!</definedName>
    <definedName name="Wire_Size">[15]INDUCTANCE!$C$161:$D$197</definedName>
    <definedName name="YTA">#REF!</definedName>
    <definedName name="YTA_26">#REF!</definedName>
    <definedName name="YTA_36">#REF!</definedName>
    <definedName name="YTA_8">#REF!</definedName>
    <definedName name="_1.1.13">#REF!</definedName>
    <definedName name="电气性能2700K">#REF!</definedName>
    <definedName name="aaaa" hidden="1">{"'Sheet1'!$A$1:$S$34"}</definedName>
    <definedName name="aaaaaaa" hidden="1">{"'Sheet1'!$A$1:$S$34"}</definedName>
    <definedName name="as" hidden="1">{"'Sheet1'!$A$1:$S$34"}</definedName>
    <definedName name="DDDDDDDDDD" hidden="1">{"'Sheet1'!$A$1:$S$34"}</definedName>
    <definedName name="e" hidden="1">{"'Sheet1'!$A$1:$S$34"}</definedName>
    <definedName name="fv" hidden="1">{"'Sheet1'!$A$1:$S$34"}</definedName>
    <definedName name="fvv" hidden="1">{"'Sheet1'!$A$1:$S$34"}</definedName>
    <definedName name="HTML_CodePage" hidden="1">1252</definedName>
    <definedName name="HTML_Control" hidden="1">{"'Sheet1'!$A$1:$S$34"}</definedName>
    <definedName name="HTML_Description" hidden="1">""</definedName>
    <definedName name="HTML_Email" hidden="1">""</definedName>
    <definedName name="HTML_Header" hidden="1">"GE Lighting Finished Product Sourcing"</definedName>
    <definedName name="HTML_LastUpdate" hidden="1">"12-Dec-99"</definedName>
    <definedName name="HTML_LineAfter" hidden="1">FALSE</definedName>
    <definedName name="HTML_LineBefore" hidden="1">FALSE</definedName>
    <definedName name="HTML_Name" hidden="1">"Miklos Kadas"</definedName>
    <definedName name="HTML_OBDlg2" hidden="1">TRUE</definedName>
    <definedName name="HTML_OBDlg4" hidden="1">TRUE</definedName>
    <definedName name="HTML_OS" hidden="1">0</definedName>
    <definedName name="HTML_PathFile" hidden="1">"C:\My Documents\Global Quality\FPS Materials\Kadas\COC.htm"</definedName>
    <definedName name="HTML_Title" hidden="1">"LOT Certificate of Conformance 3"</definedName>
    <definedName name="jjjj" hidden="1">{"'Sheet1'!$A$1:$S$34"}</definedName>
    <definedName name="PartsList" hidden="1">{"'Sheet1'!$A$1:$S$34"}</definedName>
    <definedName name="ss" hidden="1">{"'Sheet1'!$A$1:$S$34"}</definedName>
    <definedName name="Wr" hidden="1">{"'Sheet1'!$A$1:$S$34"}</definedName>
    <definedName name="XIEWE" hidden="1">{"'Sheet1'!$A$1:$S$34"}</definedName>
    <definedName name="あ" hidden="1">{"'Sheet1'!$A$1:$S$34"}</definedName>
    <definedName name="ああ" hidden="1">{"'Sheet1'!$A$1:$S$34"}</definedName>
    <definedName name="い" hidden="1">{"'Sheet1'!$A$1:$S$34"}</definedName>
    <definedName name="ふぁ" hidden="1">{"'Sheet1'!$A$1:$S$34"}</definedName>
    <definedName name="フォーミング" hidden="1">{"'Sheet1'!$A$1:$S$34"}</definedName>
    <definedName name="个g" hidden="1">{"'Sheet1'!$A$1:$S$34"}</definedName>
    <definedName name="横回路図" hidden="1">{"'Sheet1'!$A$1:$S$34"}</definedName>
    <definedName name="振铃波06">#REF!</definedName>
    <definedName name="turn">'[19]Validation Plan'!$D$12</definedName>
    <definedName name="KSC76532021">#REF!</definedName>
    <definedName name="_78">#REF!</definedName>
    <definedName name="ad">#REF!</definedName>
    <definedName name="rt">#REF!</definedName>
    <definedName name="ＳＴＤ距離">#REF!</definedName>
    <definedName name="サンプル距離">#REF!</definedName>
    <definedName name="_xlcn.WorksheetConnection_TransferorGeneralAP1" hidden="1">'[20]Transferor General'!$A:$P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<sst xmlns="http://schemas.openxmlformats.org/spreadsheetml/2006/main" count="252" uniqueCount="73">
  <si>
    <t>横店集团得邦照明股份有限公司检测中心</t>
  </si>
  <si>
    <t>Hengdian Group Tospo Lighting CO., LTD.'Test Center</t>
  </si>
  <si>
    <t>编号：DBTC/JY-JL/BG-14/41</t>
  </si>
  <si>
    <t>元器件V-I检测报告</t>
  </si>
  <si>
    <t>型号规格</t>
  </si>
  <si>
    <t>样品数量</t>
  </si>
  <si>
    <t>检测条件</t>
  </si>
  <si>
    <t>电压/频率</t>
  </si>
  <si>
    <t>产品寿命(h)
350000</t>
  </si>
  <si>
    <t>位号</t>
  </si>
  <si>
    <t>类型</t>
  </si>
  <si>
    <t>型号</t>
  </si>
  <si>
    <t>SPEC</t>
  </si>
  <si>
    <t>启动状态</t>
  </si>
  <si>
    <t>稳定状态</t>
  </si>
  <si>
    <t>判定</t>
  </si>
  <si>
    <t>频率
（kHz）</t>
  </si>
  <si>
    <t>温度降额</t>
  </si>
  <si>
    <t>Irms
(mA)</t>
  </si>
  <si>
    <t>降额度(%)稳态</t>
  </si>
  <si>
    <t>Ipk瞬态
(A)</t>
  </si>
  <si>
    <t>降额度(%)瞬态</t>
  </si>
  <si>
    <t>Iavg稳态
(mA)</t>
  </si>
  <si>
    <t>Ipk
(A)</t>
  </si>
  <si>
    <t>T(μS)</t>
  </si>
  <si>
    <t>负荷度</t>
  </si>
  <si>
    <t>Iavg
(mA)</t>
  </si>
  <si>
    <t>C1</t>
  </si>
  <si>
    <t>薄膜电容(谐振电路)</t>
  </si>
  <si>
    <t>/</t>
  </si>
  <si>
    <t>DS2</t>
  </si>
  <si>
    <t>肖特基二极管</t>
  </si>
  <si>
    <t>普通硅二极管(光阻)</t>
  </si>
  <si>
    <t>DB1</t>
  </si>
  <si>
    <t>普通硅二极管(刀刮)</t>
  </si>
  <si>
    <t>整流桥(光阻)</t>
  </si>
  <si>
    <t>整流桥(刀刮)</t>
  </si>
  <si>
    <t>DS3</t>
  </si>
  <si>
    <t>稳压二极管</t>
  </si>
  <si>
    <t>Ipk稳态
(A)</t>
  </si>
  <si>
    <t>Q1(D)</t>
  </si>
  <si>
    <t>Id</t>
  </si>
  <si>
    <t>Q2(C)</t>
  </si>
  <si>
    <t>Ic</t>
  </si>
  <si>
    <t>Irms
(A)</t>
  </si>
  <si>
    <r>
      <rPr>
        <sz val="9"/>
        <rFont val="宋体"/>
        <charset val="134"/>
      </rPr>
      <t>I</t>
    </r>
    <r>
      <rPr>
        <vertAlign val="superscript"/>
        <sz val="9"/>
        <rFont val="宋体"/>
        <charset val="134"/>
      </rPr>
      <t>2</t>
    </r>
    <r>
      <rPr>
        <sz val="9"/>
        <rFont val="宋体"/>
        <charset val="134"/>
      </rPr>
      <t>T
(A)</t>
    </r>
  </si>
  <si>
    <t>I²T</t>
  </si>
  <si>
    <t>F1</t>
  </si>
  <si>
    <t>保险电阻</t>
  </si>
  <si>
    <t>插件电阻</t>
  </si>
  <si>
    <t>F2</t>
  </si>
  <si>
    <t>快熔断保险丝</t>
  </si>
  <si>
    <t>F3</t>
  </si>
  <si>
    <t>慢熔断保险丝</t>
  </si>
  <si>
    <t>spec</t>
  </si>
  <si>
    <t>电感参数</t>
  </si>
  <si>
    <t>δB(T)</t>
  </si>
  <si>
    <t>Ipk(A)</t>
  </si>
  <si>
    <t>L（μH）</t>
  </si>
  <si>
    <t>匝数(N)</t>
  </si>
  <si>
    <t>磁芯有效截面积Ae(mm²)</t>
  </si>
  <si>
    <t>Ipk测试值
(A)</t>
  </si>
  <si>
    <t>δB计算值</t>
  </si>
  <si>
    <t>Irms测试值(mA)</t>
  </si>
  <si>
    <t>L2</t>
  </si>
  <si>
    <t>功率电感(PC40)</t>
  </si>
  <si>
    <t>功率电感(PC95)</t>
  </si>
  <si>
    <t>变压器(PC40)</t>
  </si>
  <si>
    <t>变压器(PC95)</t>
  </si>
  <si>
    <t>L1</t>
  </si>
  <si>
    <t>滤波电感</t>
  </si>
  <si>
    <t>检测结论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</si>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</sst>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0.000000_ "/>
    <numFmt numFmtId="179" formatCode="0.00_);[Red]\(0.00\)"/>
    <numFmt numFmtId="180" formatCode="0_ "/>
    <numFmt numFmtId="181" formatCode="0_);[Red]\(0\)"/>
    <numFmt numFmtId="182" formatCode="0.00_ "/>
  </numFmts>
  <fonts count="3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2"/>
      <name val="仿宋_GB2312"/>
      <charset val="134"/>
    </font>
    <font>
      <b/>
      <sz val="14"/>
      <name val="宋体"/>
      <charset val="134"/>
    </font>
    <font>
      <sz val="12"/>
      <name val="宋体"/>
      <charset val="134"/>
      <scheme val="minor"/>
    </font>
    <font>
      <b/>
      <sz val="22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9"/>
      <color indexed="12"/>
      <name val="宋体"/>
      <charset val="134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vertAlign val="superscript"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1" fillId="10" borderId="22" applyNumberFormat="0" applyAlignment="0" applyProtection="0">
      <alignment vertical="center"/>
    </xf>
    <xf numFmtId="0" fontId="22" fillId="10" borderId="21" applyNumberFormat="0" applyAlignment="0" applyProtection="0">
      <alignment vertical="center"/>
    </xf>
    <xf numFmtId="0" fontId="23" fillId="11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/>
    <xf numFmtId="176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118">
    <xf numFmtId="0" fontId="0" fillId="0" borderId="0" xfId="0">
      <alignment vertical="center"/>
    </xf>
    <xf numFmtId="0" fontId="1" fillId="0" borderId="0" xfId="50">
      <alignment vertical="center"/>
    </xf>
    <xf numFmtId="0" fontId="1" fillId="0" borderId="0" xfId="51">
      <alignment vertical="center"/>
    </xf>
    <xf numFmtId="0" fontId="1" fillId="0" borderId="0" xfId="52">
      <alignment vertical="center"/>
    </xf>
    <xf numFmtId="0" fontId="1" fillId="0" borderId="0" xfId="49">
      <alignment vertical="center"/>
    </xf>
    <xf numFmtId="49" fontId="1" fillId="0" borderId="0" xfId="49" applyNumberFormat="1">
      <alignment vertical="center"/>
    </xf>
    <xf numFmtId="49" fontId="1" fillId="0" borderId="0" xfId="49" applyNumberFormat="1" applyAlignment="1">
      <alignment horizontal="center"/>
    </xf>
    <xf numFmtId="0" fontId="2" fillId="0" borderId="0" xfId="53" applyFont="1" applyAlignment="1">
      <alignment horizontal="center" vertical="center"/>
    </xf>
    <xf numFmtId="0" fontId="3" fillId="0" borderId="0" xfId="53" applyFont="1" applyAlignment="1">
      <alignment horizontal="center" vertical="center"/>
    </xf>
    <xf numFmtId="0" fontId="4" fillId="0" borderId="1" xfId="54" applyFont="1" applyBorder="1" applyAlignment="1">
      <alignment horizontal="center" vertical="center"/>
    </xf>
    <xf numFmtId="49" fontId="1" fillId="0" borderId="1" xfId="54" applyNumberFormat="1" applyBorder="1" applyAlignment="1">
      <alignment horizontal="right" vertical="center"/>
    </xf>
    <xf numFmtId="0" fontId="5" fillId="0" borderId="0" xfId="54" applyFont="1" applyAlignment="1">
      <alignment horizontal="center" vertical="center"/>
    </xf>
    <xf numFmtId="0" fontId="1" fillId="0" borderId="1" xfId="55" applyBorder="1" applyAlignment="1">
      <alignment horizontal="left" vertical="center"/>
    </xf>
    <xf numFmtId="0" fontId="0" fillId="0" borderId="1" xfId="55" applyFont="1" applyBorder="1" applyAlignment="1">
      <alignment horizontal="left" vertical="center"/>
    </xf>
    <xf numFmtId="49" fontId="0" fillId="0" borderId="1" xfId="55" applyNumberFormat="1" applyFont="1" applyBorder="1">
      <alignment vertical="center"/>
    </xf>
    <xf numFmtId="0" fontId="6" fillId="0" borderId="1" xfId="56" applyFont="1" applyBorder="1" applyAlignment="1">
      <alignment wrapText="1"/>
    </xf>
    <xf numFmtId="0" fontId="6" fillId="0" borderId="1" xfId="57" applyFont="1" applyBorder="1" applyAlignment="1">
      <alignment wrapText="1"/>
    </xf>
    <xf numFmtId="0" fontId="6" fillId="0" borderId="0" xfId="53" applyFont="1" applyAlignment="1">
      <alignment horizontal="right" vertical="center"/>
    </xf>
    <xf numFmtId="0" fontId="7" fillId="0" borderId="0" xfId="53" applyFont="1" applyAlignment="1">
      <alignment horizontal="center" vertical="center"/>
    </xf>
    <xf numFmtId="0" fontId="1" fillId="0" borderId="0" xfId="58">
      <alignment vertical="center"/>
    </xf>
    <xf numFmtId="0" fontId="8" fillId="0" borderId="2" xfId="56" applyFont="1" applyBorder="1" applyAlignment="1">
      <alignment horizontal="center" vertical="center"/>
    </xf>
    <xf numFmtId="0" fontId="8" fillId="0" borderId="3" xfId="56" applyFont="1" applyBorder="1" applyAlignment="1">
      <alignment horizontal="center" vertical="center" wrapText="1"/>
    </xf>
    <xf numFmtId="0" fontId="8" fillId="0" borderId="4" xfId="56" applyFont="1" applyBorder="1" applyAlignment="1">
      <alignment horizontal="center" vertical="center" wrapText="1"/>
    </xf>
    <xf numFmtId="0" fontId="8" fillId="0" borderId="5" xfId="56" applyFont="1" applyBorder="1" applyAlignment="1">
      <alignment horizontal="center" vertical="center"/>
    </xf>
    <xf numFmtId="0" fontId="1" fillId="0" borderId="5" xfId="59" applyBorder="1" applyAlignment="1">
      <alignment horizontal="center" vertical="center"/>
    </xf>
    <xf numFmtId="0" fontId="1" fillId="0" borderId="6" xfId="59" applyBorder="1" applyAlignment="1">
      <alignment horizontal="center" vertical="center"/>
    </xf>
    <xf numFmtId="0" fontId="1" fillId="0" borderId="3" xfId="59" applyBorder="1" applyAlignment="1">
      <alignment horizontal="center" vertical="center"/>
    </xf>
    <xf numFmtId="0" fontId="1" fillId="0" borderId="4" xfId="59" applyBorder="1" applyAlignment="1">
      <alignment horizontal="center" vertical="center"/>
    </xf>
    <xf numFmtId="0" fontId="8" fillId="0" borderId="2" xfId="59" applyFont="1" applyBorder="1" applyAlignment="1">
      <alignment horizontal="center" vertical="center"/>
    </xf>
    <xf numFmtId="0" fontId="8" fillId="0" borderId="7" xfId="59" applyFont="1" applyBorder="1" applyAlignment="1">
      <alignment horizontal="center" vertical="center"/>
    </xf>
    <xf numFmtId="0" fontId="8" fillId="0" borderId="8" xfId="59" applyFont="1" applyBorder="1" applyAlignment="1">
      <alignment horizontal="center" vertical="center"/>
    </xf>
    <xf numFmtId="0" fontId="8" fillId="0" borderId="2" xfId="59" applyFont="1" applyBorder="1" applyAlignment="1">
      <alignment horizontal="center" vertical="center" wrapText="1"/>
    </xf>
    <xf numFmtId="0" fontId="1" fillId="0" borderId="2" xfId="51" applyBorder="1" applyAlignment="1">
      <alignment horizontal="center" vertical="center"/>
    </xf>
    <xf numFmtId="0" fontId="9" fillId="0" borderId="2" xfId="60" applyFont="1" applyBorder="1" applyAlignment="1">
      <alignment horizontal="center" vertical="center"/>
    </xf>
    <xf numFmtId="0" fontId="9" fillId="0" borderId="7" xfId="60" applyFont="1" applyBorder="1" applyAlignment="1">
      <alignment horizontal="center" vertical="center"/>
    </xf>
    <xf numFmtId="0" fontId="9" fillId="0" borderId="9" xfId="60" applyFont="1" applyBorder="1" applyAlignment="1">
      <alignment horizontal="center" vertical="center"/>
    </xf>
    <xf numFmtId="0" fontId="9" fillId="0" borderId="8" xfId="60" applyFont="1" applyBorder="1" applyAlignment="1">
      <alignment horizontal="center" vertical="center"/>
    </xf>
    <xf numFmtId="0" fontId="9" fillId="0" borderId="10" xfId="60" applyFont="1" applyBorder="1" applyAlignment="1">
      <alignment horizontal="center" vertical="center"/>
    </xf>
    <xf numFmtId="0" fontId="9" fillId="0" borderId="1" xfId="60" applyFont="1" applyBorder="1" applyAlignment="1">
      <alignment horizontal="center" vertical="center"/>
    </xf>
    <xf numFmtId="0" fontId="9" fillId="0" borderId="11" xfId="60" applyFont="1" applyBorder="1" applyAlignment="1">
      <alignment horizontal="center" vertical="center"/>
    </xf>
    <xf numFmtId="0" fontId="9" fillId="0" borderId="12" xfId="52" applyFont="1" applyBorder="1" applyAlignment="1">
      <alignment horizontal="center" vertical="center" wrapText="1"/>
    </xf>
    <xf numFmtId="0" fontId="9" fillId="2" borderId="2" xfId="51" applyFont="1" applyFill="1" applyBorder="1" applyAlignment="1" applyProtection="1">
      <alignment horizontal="center" vertical="center" wrapText="1"/>
      <protection locked="0"/>
    </xf>
    <xf numFmtId="0" fontId="9" fillId="3" borderId="2" xfId="51" applyFont="1" applyFill="1" applyBorder="1" applyAlignment="1" applyProtection="1">
      <alignment horizontal="center" vertical="center" wrapText="1"/>
      <protection locked="0"/>
    </xf>
    <xf numFmtId="0" fontId="9" fillId="0" borderId="5" xfId="60" applyFont="1" applyBorder="1" applyAlignment="1">
      <alignment horizontal="center" vertical="center" wrapText="1"/>
    </xf>
    <xf numFmtId="0" fontId="9" fillId="2" borderId="5" xfId="51" applyFont="1" applyFill="1" applyBorder="1" applyAlignment="1" applyProtection="1">
      <alignment horizontal="center" vertical="center" wrapText="1"/>
      <protection locked="0"/>
    </xf>
    <xf numFmtId="0" fontId="9" fillId="2" borderId="6" xfId="51" applyFont="1" applyFill="1" applyBorder="1" applyAlignment="1" applyProtection="1">
      <alignment horizontal="center" vertical="center" wrapText="1"/>
      <protection locked="0"/>
    </xf>
    <xf numFmtId="0" fontId="9" fillId="0" borderId="10" xfId="60" applyFont="1" applyBorder="1" applyAlignment="1">
      <alignment horizontal="center" vertical="center" wrapText="1"/>
    </xf>
    <xf numFmtId="0" fontId="9" fillId="2" borderId="10" xfId="51" applyFont="1" applyFill="1" applyBorder="1" applyAlignment="1" applyProtection="1">
      <alignment horizontal="center" vertical="center" wrapText="1"/>
      <protection locked="0"/>
    </xf>
    <xf numFmtId="0" fontId="9" fillId="2" borderId="13" xfId="51" applyFont="1" applyFill="1" applyBorder="1" applyAlignment="1" applyProtection="1">
      <alignment horizontal="center" vertical="center" wrapText="1"/>
      <protection locked="0"/>
    </xf>
    <xf numFmtId="0" fontId="9" fillId="0" borderId="10" xfId="52" applyFont="1" applyBorder="1" applyAlignment="1">
      <alignment horizontal="center" vertical="center" wrapText="1"/>
    </xf>
    <xf numFmtId="0" fontId="10" fillId="4" borderId="14" xfId="51" applyFont="1" applyFill="1" applyBorder="1" applyAlignment="1">
      <alignment horizontal="center" vertical="center" wrapText="1"/>
    </xf>
    <xf numFmtId="0" fontId="10" fillId="0" borderId="2" xfId="51" applyFont="1" applyBorder="1" applyAlignment="1">
      <alignment horizontal="center" vertical="center" wrapText="1"/>
    </xf>
    <xf numFmtId="0" fontId="10" fillId="0" borderId="2" xfId="51" applyFont="1" applyFill="1" applyBorder="1" applyAlignment="1">
      <alignment horizontal="center" vertical="center" wrapText="1"/>
    </xf>
    <xf numFmtId="0" fontId="10" fillId="0" borderId="2" xfId="61" applyFont="1" applyBorder="1" applyAlignment="1">
      <alignment horizontal="center" vertical="center" wrapText="1"/>
    </xf>
    <xf numFmtId="9" fontId="9" fillId="0" borderId="2" xfId="3" applyFont="1" applyBorder="1" applyAlignment="1" applyProtection="1">
      <alignment horizontal="center" vertical="center" wrapText="1"/>
    </xf>
    <xf numFmtId="0" fontId="9" fillId="5" borderId="2" xfId="61" applyFont="1" applyFill="1" applyBorder="1" applyAlignment="1">
      <alignment horizontal="center" vertical="center" wrapText="1"/>
    </xf>
    <xf numFmtId="177" fontId="9" fillId="0" borderId="2" xfId="51" applyNumberFormat="1" applyFont="1" applyBorder="1" applyAlignment="1">
      <alignment horizontal="center" vertical="center" wrapText="1"/>
    </xf>
    <xf numFmtId="177" fontId="9" fillId="0" borderId="7" xfId="51" applyNumberFormat="1" applyFont="1" applyBorder="1" applyAlignment="1">
      <alignment horizontal="center" vertical="center" wrapText="1"/>
    </xf>
    <xf numFmtId="177" fontId="9" fillId="0" borderId="2" xfId="51" applyNumberFormat="1" applyFont="1" applyBorder="1" applyAlignment="1">
      <alignment vertical="center" wrapText="1"/>
    </xf>
    <xf numFmtId="0" fontId="9" fillId="0" borderId="0" xfId="61" applyFont="1" applyAlignment="1">
      <alignment horizontal="center" vertical="center" wrapText="1"/>
    </xf>
    <xf numFmtId="178" fontId="9" fillId="0" borderId="0" xfId="61" applyNumberFormat="1" applyFont="1" applyAlignment="1">
      <alignment horizontal="center" vertical="center" wrapText="1"/>
    </xf>
    <xf numFmtId="179" fontId="9" fillId="0" borderId="0" xfId="61" applyNumberFormat="1" applyFont="1" applyAlignment="1">
      <alignment horizontal="center" vertical="center" wrapText="1"/>
    </xf>
    <xf numFmtId="0" fontId="9" fillId="0" borderId="2" xfId="61" applyFont="1" applyBorder="1" applyAlignment="1">
      <alignment horizontal="center" vertical="center" wrapText="1"/>
    </xf>
    <xf numFmtId="9" fontId="9" fillId="0" borderId="2" xfId="61" applyNumberFormat="1" applyFont="1" applyBorder="1" applyAlignment="1">
      <alignment horizontal="center" vertical="center" wrapText="1"/>
    </xf>
    <xf numFmtId="176" fontId="9" fillId="0" borderId="0" xfId="61" applyNumberFormat="1" applyFont="1" applyAlignment="1">
      <alignment horizontal="center" vertical="center" wrapText="1"/>
    </xf>
    <xf numFmtId="0" fontId="10" fillId="4" borderId="2" xfId="51" applyFont="1" applyFill="1" applyBorder="1" applyAlignment="1">
      <alignment horizontal="center" vertical="center" wrapText="1"/>
    </xf>
    <xf numFmtId="180" fontId="9" fillId="5" borderId="2" xfId="61" applyNumberFormat="1" applyFont="1" applyFill="1" applyBorder="1" applyAlignment="1">
      <alignment horizontal="center" vertical="center" wrapText="1"/>
    </xf>
    <xf numFmtId="176" fontId="9" fillId="0" borderId="2" xfId="61" applyNumberFormat="1" applyFont="1" applyBorder="1" applyAlignment="1">
      <alignment horizontal="center" vertical="center" wrapText="1"/>
    </xf>
    <xf numFmtId="180" fontId="9" fillId="5" borderId="5" xfId="61" applyNumberFormat="1" applyFont="1" applyFill="1" applyBorder="1" applyAlignment="1">
      <alignment horizontal="center" vertical="center" wrapText="1"/>
    </xf>
    <xf numFmtId="176" fontId="9" fillId="0" borderId="5" xfId="61" applyNumberFormat="1" applyFont="1" applyBorder="1" applyAlignment="1">
      <alignment horizontal="center" vertical="center" wrapText="1"/>
    </xf>
    <xf numFmtId="177" fontId="9" fillId="0" borderId="5" xfId="51" applyNumberFormat="1" applyFont="1" applyBorder="1" applyAlignment="1">
      <alignment horizontal="center" vertical="center" wrapText="1"/>
    </xf>
    <xf numFmtId="0" fontId="9" fillId="5" borderId="5" xfId="61" applyFont="1" applyFill="1" applyBorder="1" applyAlignment="1">
      <alignment horizontal="center" vertical="center" wrapText="1"/>
    </xf>
    <xf numFmtId="0" fontId="9" fillId="0" borderId="7" xfId="60" applyFont="1" applyBorder="1" applyAlignment="1">
      <alignment horizontal="center" vertical="center" wrapText="1"/>
    </xf>
    <xf numFmtId="0" fontId="9" fillId="0" borderId="9" xfId="60" applyFont="1" applyBorder="1" applyAlignment="1">
      <alignment horizontal="center" vertical="center" wrapText="1"/>
    </xf>
    <xf numFmtId="0" fontId="9" fillId="0" borderId="5" xfId="52" applyFont="1" applyBorder="1" applyAlignment="1">
      <alignment horizontal="center" vertical="center" wrapText="1"/>
    </xf>
    <xf numFmtId="0" fontId="9" fillId="0" borderId="2" xfId="52" applyFont="1" applyBorder="1" applyAlignment="1">
      <alignment horizontal="center" vertical="center" wrapText="1"/>
    </xf>
    <xf numFmtId="0" fontId="9" fillId="0" borderId="2" xfId="51" applyFont="1" applyBorder="1" applyAlignment="1" applyProtection="1">
      <alignment horizontal="center" vertical="center" wrapText="1"/>
      <protection locked="0"/>
    </xf>
    <xf numFmtId="0" fontId="9" fillId="0" borderId="6" xfId="51" applyFont="1" applyBorder="1" applyAlignment="1" applyProtection="1">
      <alignment horizontal="center" vertical="center" wrapText="1"/>
      <protection locked="0"/>
    </xf>
    <xf numFmtId="0" fontId="9" fillId="0" borderId="4" xfId="51" applyFont="1" applyBorder="1" applyAlignment="1" applyProtection="1">
      <alignment horizontal="center" vertical="center" wrapText="1"/>
      <protection locked="0"/>
    </xf>
    <xf numFmtId="0" fontId="9" fillId="0" borderId="13" xfId="51" applyFont="1" applyBorder="1" applyAlignment="1" applyProtection="1">
      <alignment horizontal="center" vertical="center" wrapText="1"/>
      <protection locked="0"/>
    </xf>
    <xf numFmtId="0" fontId="9" fillId="0" borderId="11" xfId="51" applyFont="1" applyBorder="1" applyAlignment="1" applyProtection="1">
      <alignment horizontal="center" vertical="center" wrapText="1"/>
      <protection locked="0"/>
    </xf>
    <xf numFmtId="0" fontId="10" fillId="0" borderId="7" xfId="61" applyFont="1" applyBorder="1" applyAlignment="1">
      <alignment horizontal="center" vertical="center" wrapText="1"/>
    </xf>
    <xf numFmtId="0" fontId="10" fillId="0" borderId="8" xfId="61" applyFont="1" applyBorder="1" applyAlignment="1">
      <alignment horizontal="center" vertical="center" wrapText="1"/>
    </xf>
    <xf numFmtId="9" fontId="9" fillId="0" borderId="2" xfId="3" applyFont="1" applyFill="1" applyBorder="1" applyAlignment="1" applyProtection="1">
      <alignment horizontal="center" vertical="center" wrapText="1"/>
    </xf>
    <xf numFmtId="9" fontId="9" fillId="0" borderId="5" xfId="3" applyFont="1" applyBorder="1" applyAlignment="1" applyProtection="1">
      <alignment horizontal="center" vertical="center" wrapText="1"/>
    </xf>
    <xf numFmtId="0" fontId="9" fillId="2" borderId="2" xfId="51" applyFont="1" applyFill="1" applyBorder="1" applyAlignment="1" applyProtection="1">
      <alignment horizontal="center" vertical="center"/>
      <protection locked="0"/>
    </xf>
    <xf numFmtId="0" fontId="9" fillId="2" borderId="7" xfId="51" applyFont="1" applyFill="1" applyBorder="1" applyAlignment="1" applyProtection="1">
      <alignment horizontal="center" vertical="center" wrapText="1"/>
      <protection locked="0"/>
    </xf>
    <xf numFmtId="0" fontId="9" fillId="2" borderId="8" xfId="51" applyFont="1" applyFill="1" applyBorder="1" applyAlignment="1" applyProtection="1">
      <alignment horizontal="center" vertical="center" wrapText="1"/>
      <protection locked="0"/>
    </xf>
    <xf numFmtId="0" fontId="9" fillId="2" borderId="9" xfId="51" applyFont="1" applyFill="1" applyBorder="1" applyAlignment="1" applyProtection="1">
      <alignment horizontal="center" vertical="center" wrapText="1"/>
      <protection locked="0"/>
    </xf>
    <xf numFmtId="0" fontId="9" fillId="2" borderId="7" xfId="51" applyFont="1" applyFill="1" applyBorder="1" applyAlignment="1" applyProtection="1">
      <alignment horizontal="center" vertical="center"/>
      <protection locked="0"/>
    </xf>
    <xf numFmtId="0" fontId="9" fillId="2" borderId="9" xfId="51" applyFont="1" applyFill="1" applyBorder="1" applyAlignment="1" applyProtection="1">
      <alignment horizontal="center" vertical="center"/>
      <protection locked="0"/>
    </xf>
    <xf numFmtId="0" fontId="9" fillId="2" borderId="8" xfId="51" applyFont="1" applyFill="1" applyBorder="1" applyAlignment="1" applyProtection="1">
      <alignment horizontal="center" vertical="center"/>
      <protection locked="0"/>
    </xf>
    <xf numFmtId="0" fontId="9" fillId="2" borderId="4" xfId="51" applyFont="1" applyFill="1" applyBorder="1" applyAlignment="1" applyProtection="1">
      <alignment horizontal="center" vertical="center" wrapText="1"/>
      <protection locked="0"/>
    </xf>
    <xf numFmtId="0" fontId="9" fillId="2" borderId="3" xfId="51" applyFont="1" applyFill="1" applyBorder="1" applyAlignment="1" applyProtection="1">
      <alignment horizontal="center" vertical="center" wrapText="1"/>
      <protection locked="0"/>
    </xf>
    <xf numFmtId="0" fontId="11" fillId="3" borderId="5" xfId="51" applyFont="1" applyFill="1" applyBorder="1" applyAlignment="1" applyProtection="1">
      <alignment horizontal="center" vertical="center" wrapText="1"/>
      <protection locked="0"/>
    </xf>
    <xf numFmtId="0" fontId="9" fillId="2" borderId="12" xfId="51" applyFont="1" applyFill="1" applyBorder="1" applyAlignment="1" applyProtection="1">
      <alignment horizontal="center" vertical="center" wrapText="1"/>
      <protection locked="0"/>
    </xf>
    <xf numFmtId="0" fontId="9" fillId="2" borderId="15" xfId="51" applyFont="1" applyFill="1" applyBorder="1" applyAlignment="1" applyProtection="1">
      <alignment horizontal="center" vertical="center" wrapText="1"/>
      <protection locked="0"/>
    </xf>
    <xf numFmtId="0" fontId="9" fillId="2" borderId="16" xfId="51" applyFont="1" applyFill="1" applyBorder="1" applyAlignment="1" applyProtection="1">
      <alignment horizontal="center" vertical="center" wrapText="1"/>
      <protection locked="0"/>
    </xf>
    <xf numFmtId="0" fontId="9" fillId="2" borderId="11" xfId="51" applyFont="1" applyFill="1" applyBorder="1" applyAlignment="1" applyProtection="1">
      <alignment horizontal="center" vertical="center" wrapText="1"/>
      <protection locked="0"/>
    </xf>
    <xf numFmtId="0" fontId="9" fillId="2" borderId="1" xfId="51" applyFont="1" applyFill="1" applyBorder="1" applyAlignment="1" applyProtection="1">
      <alignment horizontal="center" vertical="center" wrapText="1"/>
      <protection locked="0"/>
    </xf>
    <xf numFmtId="0" fontId="11" fillId="3" borderId="10" xfId="51" applyFont="1" applyFill="1" applyBorder="1" applyAlignment="1" applyProtection="1">
      <alignment horizontal="center" vertical="center" wrapText="1"/>
      <protection locked="0"/>
    </xf>
    <xf numFmtId="0" fontId="9" fillId="4" borderId="2" xfId="51" applyFont="1" applyFill="1" applyBorder="1" applyAlignment="1" applyProtection="1">
      <alignment horizontal="center" vertical="center"/>
      <protection locked="0"/>
    </xf>
    <xf numFmtId="0" fontId="9" fillId="0" borderId="2" xfId="51" applyFont="1" applyBorder="1" applyAlignment="1" applyProtection="1">
      <alignment horizontal="center" vertical="center"/>
      <protection locked="0"/>
    </xf>
    <xf numFmtId="2" fontId="9" fillId="6" borderId="6" xfId="66" applyNumberFormat="1" applyFont="1" applyFill="1" applyBorder="1" applyAlignment="1" applyProtection="1">
      <alignment horizontal="center" vertical="center"/>
      <protection locked="0"/>
    </xf>
    <xf numFmtId="2" fontId="9" fillId="6" borderId="4" xfId="66" applyNumberFormat="1" applyFont="1" applyFill="1" applyBorder="1" applyAlignment="1" applyProtection="1">
      <alignment horizontal="center" vertical="center"/>
      <protection locked="0"/>
    </xf>
    <xf numFmtId="1" fontId="9" fillId="7" borderId="2" xfId="51" applyNumberFormat="1" applyFont="1" applyFill="1" applyBorder="1" applyAlignment="1" applyProtection="1">
      <alignment horizontal="center" vertical="center"/>
      <protection locked="0"/>
    </xf>
    <xf numFmtId="181" fontId="9" fillId="7" borderId="2" xfId="3" applyNumberFormat="1" applyFont="1" applyFill="1" applyBorder="1" applyAlignment="1" applyProtection="1">
      <alignment horizontal="center" vertical="center"/>
      <protection locked="0"/>
    </xf>
    <xf numFmtId="0" fontId="9" fillId="7" borderId="2" xfId="3" applyNumberFormat="1" applyFont="1" applyFill="1" applyBorder="1" applyAlignment="1" applyProtection="1">
      <alignment horizontal="center" vertical="center"/>
      <protection locked="0"/>
    </xf>
    <xf numFmtId="179" fontId="9" fillId="5" borderId="2" xfId="3" applyNumberFormat="1" applyFont="1" applyFill="1" applyBorder="1" applyAlignment="1" applyProtection="1">
      <alignment horizontal="center" vertical="center" wrapText="1"/>
      <protection locked="0"/>
    </xf>
    <xf numFmtId="182" fontId="9" fillId="0" borderId="2" xfId="51" applyNumberFormat="1" applyFont="1" applyBorder="1" applyAlignment="1">
      <alignment horizontal="center" vertical="center" wrapText="1"/>
    </xf>
    <xf numFmtId="179" fontId="9" fillId="7" borderId="2" xfId="3" applyNumberFormat="1" applyFont="1" applyFill="1" applyBorder="1" applyAlignment="1" applyProtection="1">
      <alignment horizontal="center" vertical="center" wrapText="1"/>
      <protection locked="0"/>
    </xf>
    <xf numFmtId="0" fontId="8" fillId="0" borderId="17" xfId="51" applyFont="1" applyBorder="1" applyAlignment="1">
      <alignment horizontal="center" vertical="center" wrapText="1"/>
    </xf>
    <xf numFmtId="0" fontId="8" fillId="0" borderId="10" xfId="51" applyFont="1" applyBorder="1" applyAlignment="1">
      <alignment horizontal="center" vertical="center" wrapText="1"/>
    </xf>
    <xf numFmtId="0" fontId="8" fillId="0" borderId="15" xfId="61" applyFont="1" applyBorder="1" applyAlignment="1">
      <alignment horizontal="center" vertical="center" wrapText="1"/>
    </xf>
    <xf numFmtId="0" fontId="8" fillId="0" borderId="0" xfId="61" applyFont="1" applyAlignment="1">
      <alignment horizontal="center" vertical="center" wrapText="1"/>
    </xf>
    <xf numFmtId="0" fontId="8" fillId="0" borderId="14" xfId="49" applyFont="1" applyBorder="1" applyAlignment="1">
      <alignment horizontal="center" vertical="center"/>
    </xf>
    <xf numFmtId="0" fontId="8" fillId="0" borderId="2" xfId="63" applyFont="1" applyBorder="1" applyAlignment="1">
      <alignment horizontal="center" vertical="center"/>
    </xf>
    <xf numFmtId="49" fontId="0" fillId="0" borderId="2" xfId="64" applyNumberFormat="1" applyFont="1" applyBorder="1" applyAlignment="1">
      <alignment horizontal="center" vertical="center" wrapText="1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Book1 (version 1) 2" xfId="49"/>
    <cellStyle name="常规_Book1 (version 1) 4" xfId="50"/>
    <cellStyle name="常规 10 2 2 2 2 3" xfId="51"/>
    <cellStyle name="常规 2 2 3 2 4" xfId="52"/>
    <cellStyle name="常规_样品单号20120110DJ009 路灯NRS821-B NRS827-B型式试验 2 2 2 2" xfId="53"/>
    <cellStyle name="常规_自镇流LED灯原始记录" xfId="54"/>
    <cellStyle name="常规_自镇流LED灯原始记录 2 2 2 2" xfId="55"/>
    <cellStyle name="常规_实验室检测报告格式最新 4 2" xfId="56"/>
    <cellStyle name="常规 9 2 4" xfId="57"/>
    <cellStyle name="常规_Book1 (version 1) 3 2 3" xfId="58"/>
    <cellStyle name="常规 10 20 2" xfId="59"/>
    <cellStyle name="常规 4 7" xfId="60"/>
    <cellStyle name="常规 4 8 2" xfId="61"/>
    <cellStyle name="常规 2 3 7" xfId="62"/>
    <cellStyle name="常规 10 3 2 2 2 3" xfId="63"/>
    <cellStyle name="常规_Book1 (version 1) 2 2" xfId="64"/>
    <cellStyle name="常规_Book1 (version 1)" xfId="65"/>
    <cellStyle name="常规 10" xfId="66"/>
  </cellStyles>
  <dxfs count="20"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</xdr:colOff>
      <xdr:row>0</xdr:row>
      <xdr:rowOff>28575</xdr:rowOff>
    </xdr:from>
    <xdr:to>
      <xdr:col>1</xdr:col>
      <xdr:colOff>655955</xdr:colOff>
      <xdr:row>1</xdr:row>
      <xdr:rowOff>189230</xdr:rowOff>
    </xdr:to>
    <xdr:pic>
      <xdr:nvPicPr>
        <xdr:cNvPr id="2" name="Picture 22" descr="rId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4775" y="28575"/>
          <a:ext cx="1132205" cy="363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28575</xdr:rowOff>
    </xdr:from>
    <xdr:to>
      <xdr:col>1</xdr:col>
      <xdr:colOff>655955</xdr:colOff>
      <xdr:row>1</xdr:row>
      <xdr:rowOff>189230</xdr:rowOff>
    </xdr:to>
    <xdr:pic>
      <xdr:nvPicPr>
        <xdr:cNvPr id="3" name="Picture 22" descr="rId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4775" y="28575"/>
          <a:ext cx="1132205" cy="363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28575</xdr:rowOff>
    </xdr:from>
    <xdr:to>
      <xdr:col>1</xdr:col>
      <xdr:colOff>655955</xdr:colOff>
      <xdr:row>1</xdr:row>
      <xdr:rowOff>189230</xdr:rowOff>
    </xdr:to>
    <xdr:pic>
      <xdr:nvPicPr>
        <xdr:cNvPr id="4" name="Picture 22" descr="rId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04775" y="28575"/>
          <a:ext cx="1132205" cy="363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RoadmapA00-Nov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PPM%20Data\PPM\CADIZPPM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57\Users\Administrator\Desktop\161V-I\RecoveredExternalLink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104\Users\admin\AppData\Local\Microsoft\Windows\INetCache\IE\6I0SZTSD\N18LEDDX104%202018.6.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57\Users\Administrator\Desktop\2017&#25253;&#21578;\N17LEDDX040-PH\RecoveredExternalLink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&#30005;&#24615;&#32452;&#25253;&#21578;&#25991;&#20214;\Users\Administrator\Desktop\UltraPlot%201.7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225;&#19994;&#24494;&#20449;&#20449;&#24687;\WXWork\1688857725339349\Cache\File\2026-02\P0049560%20P0050374%2022.5W%203500lm%20DLC%206.0_CTQ_V1.0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30005;&#24615;&#32452;&#25253;&#21578;&#25991;&#20214;\&#26041;&#38643;&#21880;\N23LEDDX069\VTM-PAR&#28783;%20N23LEDDX05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Users\Administrator\Desktop\161\PH%20N16LEDDX161%20&#20313;&#23567;&#27426;\template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20184;&#27583;&#36229;\N20LEDDX102\&#28783;&#20855;\template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alfs01\common\McMahan\AB132I120_A\DR1_Data_1_Lam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Documents%20and%20Settings\candam\Local%20Settings\Temporary%20Internet%20Files\OLK16\CHECKLIST_Rev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39033;&#30446;&#36827;&#24230;&#33410;&#28857;&#36319;&#36394;\&#36817;&#26399;&#39033;&#30446;&#28165;&#21333;\N23LEDDS060%20&#36712;&#36947;&#28783;\B.O.M.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Users\Administrator\Desktop\&#25253;&#21578;\2017&#24180;&#25253;&#21578;\PH&#25253;&#21578;\N17LEDDX053\161V-I\RecoveredExternalLink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24037;&#20316;\&#23436;&#25104;&#39033;&#30446;2\N18LEDDX050\&#28903;&#20445;&#38505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Desktop\&#26032;&#21697;&#39564;&#35777;&#26657;&#26680;\PH-A&#28783;\RecoveredExternalLin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1&#12289;&#39033;&#30446;&#31649;&#29702;\2&#12289;PH%20Ecofit%20HPF%20&#21488;&#28286;\7&#12289;&#39033;&#30446;&#25991;&#20214;\6&#12289;&#26816;&#27979;&#20013;&#24515;&#35797;&#39564;&#25253;&#21578;\P0012507_Validation%20Matrix%20TLED_Tospo%2020160918&#26356;&#2603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1702025\&#21556;&#24605;&#35946;\N20LEDDX145GC\DX144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57\&#30005;&#24615;&#32452;&#25253;&#21578;&#25991;&#20214;\&#21556;&#24605;&#35946;\&#24050;&#20986;&#25253;&#21578;\&#26032;&#21697;\19&#24180;\N19LEDDX132\N19LEDDX132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.57\&#30005;&#24615;&#32452;&#25253;&#21578;&#25991;&#20214;\&#21556;&#24605;&#35946;\N20LEDDX145GC\DX14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**00"/>
      <sheetName val="**02"/>
      <sheetName val="Roadmap"/>
      <sheetName val="Actions"/>
      <sheetName val="Jabil 9-99 Process-Asm PPM"/>
      <sheetName val="Jabil Top 5"/>
      <sheetName val="Jabil Monthly PPM By Assem."/>
      <sheetName val="9-99 Alliance PPM"/>
      <sheetName val="Alliance Monthly PPM"/>
      <sheetName val="Alliance Top 5"/>
      <sheetName val="__00"/>
      <sheetName val="__02"/>
      <sheetName val="Rejects PPM"/>
      <sheetName val="Design"/>
      <sheetName val="Drop-Downs"/>
      <sheetName val="CCC监督安全首页"/>
      <sheetName val="CCC监督电磁首页"/>
      <sheetName val="非委托报告首页"/>
      <sheetName val="template"/>
      <sheetName val="Validation Plan"/>
      <sheetName val="ISRDATA"/>
      <sheetName val="Sample Plan"/>
      <sheetName val="Product Classification"/>
      <sheetName val="SDCM"/>
      <sheetName val="Change type"/>
      <sheetName val="Summary"/>
      <sheetName val="Sheet2"/>
      <sheetName val="Problem List"/>
      <sheetName val="3-In process"/>
      <sheetName val="Foto Produto"/>
      <sheetName val="CCT2xy"/>
      <sheetName val="general averages output no dimm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volPTI"/>
      <sheetName val="Transferor General"/>
      <sheetName val="Summary "/>
      <sheetName val="So cai"/>
      <sheetName val="Nhap"/>
      <sheetName val="MTL$-INTER"/>
      <sheetName val="Creepage and clearance A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OVP (潮湿)"/>
      <sheetName val="Jabil_9-99_Process-Asm_PPM"/>
      <sheetName val="Jabil_Top_5"/>
      <sheetName val="Jabil_Monthly_PPM_By_Assem_"/>
      <sheetName val="9-99_Alliance_PPM"/>
      <sheetName val="Alliance_Monthly_PPM"/>
      <sheetName val="Alliance_Top_5"/>
      <sheetName val="Rejects_PPM"/>
      <sheetName val="Validation_Plan"/>
      <sheetName val="Sample_Plan"/>
      <sheetName val="Product_Classification"/>
      <sheetName val="Change_type"/>
      <sheetName val="Problem_List"/>
      <sheetName val="Bilog_Antennas"/>
      <sheetName val="Horn_Antennas"/>
      <sheetName val="Setup_Worksheet"/>
      <sheetName val="Clamps_and_Probes"/>
      <sheetName val="Magnetic_Loops"/>
      <sheetName val="Monopole_Antennas"/>
      <sheetName val="Foto_Produto"/>
      <sheetName val="general_averages_output_no_dimm"/>
      <sheetName val="3-In_process"/>
      <sheetName val="Transferor_General"/>
      <sheetName val="Summary_"/>
      <sheetName val="So_cai"/>
      <sheetName val="灯管加工1"/>
      <sheetName val="dSDC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jects PPM"/>
      <sheetName val="Validation Plan"/>
      <sheetName val="Roadmap"/>
      <sheetName val="Sheet2"/>
      <sheetName val="Sample Plan"/>
      <sheetName val="Product Classification"/>
      <sheetName val="ISRDATA"/>
      <sheetName val="CCC监督安全首页"/>
      <sheetName val="CCC监督电磁首页"/>
      <sheetName val="非委托报告首页"/>
      <sheetName val="Design"/>
      <sheetName val="template"/>
      <sheetName val="SDCM"/>
      <sheetName val="Drop-Downs"/>
      <sheetName val="Problem List"/>
      <sheetName val="xy2CCT"/>
      <sheetName val="Foto Produto"/>
      <sheetName val="CCT2xy"/>
      <sheetName val="Summary"/>
      <sheetName val="CADIZPPM99"/>
      <sheetName val="general averages output no dimm"/>
      <sheetName val="Transferor General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P2 CBOM"/>
      <sheetName val="DIM"/>
      <sheetName val="volPTI"/>
      <sheetName val="dSDCM"/>
      <sheetName val="Rejects_PPM"/>
      <sheetName val="Validation_Plan"/>
      <sheetName val="Sample_Plan"/>
      <sheetName val="Product_Classification"/>
      <sheetName val="Problem_List"/>
      <sheetName val="Foto_Produto"/>
      <sheetName val="Inrush_current(EMEA_and_NAM)_pd"/>
      <sheetName val="Output_ripple(NAM_and_EMEA)"/>
      <sheetName val="EME_Start_up&amp;shut_down_behavior"/>
      <sheetName val="Neon-switch_test"/>
      <sheetName val="Ripple_current_of_Ecaps_"/>
      <sheetName val="Main_voltage_increase_"/>
      <sheetName val="Fast_switching"/>
      <sheetName val="Surge_for_EMEA_and_India"/>
      <sheetName val="Ring_wave_for_NAM_and_Barizl"/>
      <sheetName val="File_test"/>
      <sheetName val="EMEA_Dimming_performance"/>
      <sheetName val="NAM_Dimming_performance"/>
      <sheetName val="P2_CBOM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非委托报告首页"/>
      <sheetName val="委托报告首页"/>
      <sheetName val="产品认证首页"/>
      <sheetName val="CSC首页"/>
      <sheetName val="EMC安全首页"/>
      <sheetName val="EMC电磁首页"/>
      <sheetName val="CCC总首页"/>
      <sheetName val="CCC安全首页"/>
      <sheetName val="CCC电磁首页"/>
      <sheetName val="CCC监督首页"/>
      <sheetName val="香港报告首页"/>
      <sheetName val="CCC监督安全首页"/>
      <sheetName val="CCC监督电磁首页"/>
      <sheetName val="工程首页"/>
      <sheetName val="国抽首页"/>
      <sheetName val="食药报告首页"/>
      <sheetName val="CQC监督首页"/>
      <sheetName val="CQC总首页"/>
      <sheetName val="空白首页"/>
      <sheetName val="CECP首页"/>
      <sheetName val="安全认证型式认可用首页"/>
      <sheetName val="安全认证复评或监督用首页"/>
      <sheetName val="空气首页"/>
      <sheetName val="机检页眉"/>
      <sheetName val="机检首页"/>
      <sheetName val="CCC总首页 (2)"/>
      <sheetName val="CCC安全首页 (2)"/>
      <sheetName val="CCC电磁首页 (2)"/>
      <sheetName val="CCC监督首页 (2)"/>
      <sheetName val="CCC监督安全首页 (2)"/>
      <sheetName val="CCC监督电磁首页 (2)"/>
      <sheetName val="评审报告首页"/>
      <sheetName val="空调能耗首页"/>
      <sheetName val="CCIC首页"/>
      <sheetName val="Design"/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template"/>
      <sheetName val="Foto Produto"/>
      <sheetName val="Product Info"/>
      <sheetName val="Problem List"/>
      <sheetName val="Product Maturity Grid"/>
      <sheetName val="CCT2xy"/>
      <sheetName val="Sample Plan"/>
      <sheetName val="Product Classification"/>
      <sheetName val="Drop-Downs"/>
      <sheetName val="Validation Plan"/>
      <sheetName val="Roadmap"/>
      <sheetName val="Cover"/>
      <sheetName val="Title"/>
      <sheetName val="Validation Matrix"/>
      <sheetName val="version"/>
      <sheetName val="Performance Validation"/>
      <sheetName val="worklog"/>
      <sheetName val="Sheet1"/>
      <sheetName val="Rejects PPM"/>
      <sheetName val="**00"/>
      <sheetName val="**02"/>
      <sheetName val="Actions"/>
      <sheetName val="Jabil 9-99 Process-Asm PPM"/>
      <sheetName val="Jabil Top 5"/>
      <sheetName val="Jabil Monthly PPM By Assem."/>
      <sheetName val="9-99 Alliance PPM"/>
      <sheetName val="Alliance Monthly PPM"/>
      <sheetName val="Alliance Top 5"/>
      <sheetName val="__00"/>
      <sheetName val="__02"/>
      <sheetName val="Sheet2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SDCM"/>
      <sheetName val="Revision History"/>
      <sheetName val="general averages output no dimm"/>
      <sheetName val="Validation Matrix (Philips)"/>
      <sheetName val="Validation Matrix (Supplier)"/>
      <sheetName val="Philips List"/>
      <sheetName val="Supplier List"/>
      <sheetName val="volPTI"/>
      <sheetName val="Condições Comerciais"/>
      <sheetName val="LED Lamps &amp; Systems"/>
      <sheetName val="Tabela Equivalência Lâmpadas"/>
      <sheetName val="dropdown"/>
      <sheetName val="Introduction"/>
      <sheetName val="UltraPlot"/>
      <sheetName val="Quadrangle Plot"/>
      <sheetName val="Tool_xy2CCT"/>
      <sheetName val="Tool_u'v'2CCT"/>
      <sheetName val="Tool_CCT2xy"/>
      <sheetName val="BBL"/>
      <sheetName val="xy2CCT"/>
      <sheetName val="dSDCM"/>
      <sheetName val="RGB"/>
      <sheetName val="Transferor General"/>
      <sheetName val="Thermal Template"/>
      <sheetName val="JA12V25W"/>
      <sheetName val="#REF"/>
      <sheetName val="QPL Spec Dropdown list"/>
      <sheetName val="0.6m"/>
      <sheetName val="0.6m EM"/>
      <sheetName val="1.2m "/>
      <sheetName val="1.2m EM"/>
      <sheetName val="1.5m"/>
      <sheetName val="1.5m EM"/>
      <sheetName val="0.6m浪涌"/>
      <sheetName val="1.2m浪涌"/>
      <sheetName val="1.5m浪涌"/>
      <sheetName val="02谐波"/>
      <sheetName val="06谐波"/>
      <sheetName val="10谐波"/>
      <sheetName val="封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Validation Test Report "/>
      <sheetName val="Description of sample"/>
      <sheetName val="Life test 01"/>
      <sheetName val="Life test 02"/>
      <sheetName val="Life test 03"/>
      <sheetName val="Inrush current 03"/>
      <sheetName val="Line regulation 01"/>
      <sheetName val="Line regulation 01 (镇流器)"/>
      <sheetName val="Load regulation 02"/>
      <sheetName val="Load regulation 02 (镇流器)"/>
      <sheetName val="Ripple current"/>
      <sheetName val="Ripple current镇流器)"/>
      <sheetName val="Start up&amp;shut down"/>
      <sheetName val="Mains voltage 01 "/>
      <sheetName val="Mains voltage 01（镇流器）"/>
      <sheetName val="Cold Hot"/>
      <sheetName val="Cold Hot (镇流器)"/>
      <sheetName val="File test"/>
      <sheetName val="IC OVP validation"/>
      <sheetName val="IC OVP validation（镇流器）"/>
      <sheetName val="DC input01"/>
      <sheetName val="Optical 01 3000K"/>
      <sheetName val="Optical 01 3000K（镇流器）"/>
      <sheetName val="Optical 02 4000K"/>
      <sheetName val="Optical 02 4000K（镇流器）"/>
      <sheetName val="Optical 03 6500K"/>
      <sheetName val="Optical 03 6500K (镇流器)"/>
      <sheetName val="Thermal"/>
      <sheetName val="Design"/>
      <sheetName val="CCT2xy"/>
      <sheetName val="Problem List"/>
      <sheetName val="Validation Plan"/>
      <sheetName val="#REF"/>
      <sheetName val="非委托报告首页"/>
      <sheetName val="CCC监督安全首页"/>
      <sheetName val="CCC监督电磁首页"/>
      <sheetName val="Transferor General"/>
      <sheetName val="灯管加工1"/>
      <sheetName val="Foto Produto"/>
      <sheetName val="template"/>
      <sheetName val="Sheet2"/>
      <sheetName val="general averages output no dimm"/>
      <sheetName val="Roadmap"/>
      <sheetName val="Sample Plan"/>
      <sheetName val="Product Classification"/>
      <sheetName val="dSDCM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Thermal Template"/>
      <sheetName val="Drop-Downs"/>
      <sheetName val="Neon-switch test"/>
      <sheetName val="Inrush current(EMEA and NAM) pd"/>
      <sheetName val="Output ripple(NAM and EMEA)"/>
      <sheetName val="EME Start up&amp;shut down behavior"/>
      <sheetName val="Hi-pot"/>
      <sheetName val="ESD"/>
      <sheetName val="Ripple current of Ecaps "/>
      <sheetName val="Main voltage increase "/>
      <sheetName val="Fast switching"/>
      <sheetName val="Surge for EMEA and India"/>
      <sheetName val="Ring wave for NAM and Barizl"/>
      <sheetName val="EMEA Dimming performance"/>
      <sheetName val="NAM Dimming performance"/>
      <sheetName val="ISRDATA"/>
      <sheetName val="xy2C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vision History"/>
      <sheetName val="Template"/>
      <sheetName val="Drop-Downs"/>
      <sheetName val="非委托报告首页"/>
      <sheetName val="委托报告首页"/>
      <sheetName val="产品认证首页"/>
      <sheetName val="CSC首页"/>
      <sheetName val="EMC安全首页"/>
      <sheetName val="EMC电磁首页"/>
      <sheetName val="CCC总首页"/>
      <sheetName val="CCC安全首页"/>
      <sheetName val="CCC电磁首页"/>
      <sheetName val="CCC监督首页"/>
      <sheetName val="香港报告首页"/>
      <sheetName val="CCC监督安全首页"/>
      <sheetName val="CCC监督电磁首页"/>
      <sheetName val="工程首页"/>
      <sheetName val="国抽首页"/>
      <sheetName val="食药报告首页"/>
      <sheetName val="CQC监督首页"/>
      <sheetName val="CQC总首页"/>
      <sheetName val="空白首页"/>
      <sheetName val="CECP首页"/>
      <sheetName val="安全认证型式认可用首页"/>
      <sheetName val="安全认证复评或监督用首页"/>
      <sheetName val="空气首页"/>
      <sheetName val="机检页眉"/>
      <sheetName val="机检首页"/>
      <sheetName val="CCC总首页 (2)"/>
      <sheetName val="CCC安全首页 (2)"/>
      <sheetName val="CCC电磁首页 (2)"/>
      <sheetName val="CCC监督首页 (2)"/>
      <sheetName val="CCC监督安全首页 (2)"/>
      <sheetName val="CCC监督电磁首页 (2)"/>
      <sheetName val="评审报告首页"/>
      <sheetName val="空调能耗首页"/>
      <sheetName val="CCIC首页"/>
      <sheetName val="ISRDATA"/>
      <sheetName val="PortaPPAP"/>
      <sheetName val="IndicePPAP"/>
      <sheetName val="Warrant"/>
      <sheetName val="RSV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Sheet2"/>
      <sheetName val="Sample Plan"/>
      <sheetName val="Product Classification"/>
      <sheetName val="Roadmap"/>
      <sheetName val="Design"/>
      <sheetName val="Problem List"/>
      <sheetName val="Rejects PPM"/>
      <sheetName val="Foto Produto"/>
      <sheetName val="Cover"/>
      <sheetName val="Title"/>
      <sheetName val="Validation Plan"/>
      <sheetName val="Validation Matrix"/>
      <sheetName val="Validation Matrix (Philips)"/>
      <sheetName val="Validation Matrix (Supplier)"/>
      <sheetName val="Performance Validation"/>
      <sheetName val="Philips List"/>
      <sheetName val="Supplier List"/>
      <sheetName val="version"/>
      <sheetName val="SDCM"/>
      <sheetName val="__00"/>
      <sheetName val="__02"/>
      <sheetName val="Actions"/>
      <sheetName val="Jabil 9-99 Process-Asm PPM"/>
      <sheetName val="Jabil Top 5"/>
      <sheetName val="Jabil Monthly PPM By Assem."/>
      <sheetName val="9-99 Alliance PPM"/>
      <sheetName val="Alliance Monthly PPM"/>
      <sheetName val="Alliance Top 5"/>
      <sheetName val="**00"/>
      <sheetName val="**02"/>
      <sheetName val="worklog"/>
      <sheetName val="Sheet1"/>
      <sheetName val="CCT2xy"/>
      <sheetName val="volPTI"/>
      <sheetName val="Product Info"/>
      <sheetName val="Product Maturity Grid"/>
      <sheetName val="Thermal Template"/>
      <sheetName val="#REF"/>
      <sheetName val="dSDCM"/>
      <sheetName val="general averages output no dimm"/>
      <sheetName val="Transferor General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Introduction"/>
      <sheetName val="UltraPlot"/>
      <sheetName val="Quadrangle Plot"/>
      <sheetName val="Tool_xy2CCT"/>
      <sheetName val="Tool_u'v'2CCT"/>
      <sheetName val="Tool_CCT2xy"/>
      <sheetName val="BBL"/>
      <sheetName val="xy2CCT"/>
      <sheetName val="RGB"/>
      <sheetName val="RE Calc"/>
      <sheetName val="Chart7"/>
      <sheetName val="points"/>
      <sheetName val="Setup Dialog"/>
      <sheetName val="fcc freq range"/>
      <sheetName val="Welcome Dialog"/>
      <sheetName val="RE Table"/>
      <sheetName val="Table Worksheet"/>
      <sheetName val="Lists"/>
      <sheetName val="Setup Worksheet"/>
      <sheetName val="Margin Sort"/>
      <sheetName val="Limits Worksheet"/>
      <sheetName val="AF Worksheet"/>
      <sheetName val="PAF Worksheet"/>
      <sheetName val="Cables"/>
      <sheetName val="CF Worksheet"/>
      <sheetName val="Bilog Antennas"/>
      <sheetName val="Limits"/>
      <sheetName val="Horn Antennas"/>
      <sheetName val="Monopole Antennas"/>
      <sheetName val="Magnetic Loops"/>
      <sheetName val="Clamps and Probes"/>
      <sheetName val="Preamplifiers"/>
      <sheetName val="Preselectors"/>
      <sheetName val="History Files"/>
      <sheetName val="Condições Comerciais"/>
      <sheetName val="LED Lamps &amp; Systems"/>
      <sheetName val="Tabela Equivalência Lâmpadas"/>
      <sheetName val="dropdown"/>
      <sheetName val=" test EMI 01"/>
      <sheetName val=" test EMI 02"/>
      <sheetName val=" test EMI 03"/>
      <sheetName val="01浪涌"/>
      <sheetName val="02浪涌"/>
      <sheetName val="03浪涌"/>
      <sheetName val="01谐波"/>
      <sheetName val="02谐波"/>
      <sheetName val="03谐波"/>
      <sheetName val="Chart2"/>
      <sheetName val="Chart1"/>
      <sheetName val="G"/>
      <sheetName val="Creepage and clearance A"/>
      <sheetName val="B.O.M"/>
      <sheetName val="OVP"/>
      <sheetName val="封面"/>
      <sheetName val="灯管加工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Chart3"/>
      <sheetName val="Chart4"/>
      <sheetName val="UltraPlot"/>
      <sheetName val="Quadrangle Plot"/>
      <sheetName val="Tool_xy2CCT"/>
      <sheetName val="Tool_u'v'2CCT"/>
      <sheetName val="Tool_CCT2xy"/>
      <sheetName val="BBL"/>
      <sheetName val="xy2CCT"/>
      <sheetName val="CCT2xy"/>
      <sheetName val="SDCM"/>
      <sheetName val="dSDCM"/>
      <sheetName val="RGB"/>
      <sheetName val="G"/>
      <sheetName val="CCC监督安全首页"/>
      <sheetName val="CCC监督电磁首页"/>
      <sheetName val="Roadmap"/>
      <sheetName val="Design"/>
      <sheetName val="Rejects PPM"/>
      <sheetName val="非委托报告首页"/>
      <sheetName val="Transferor General"/>
      <sheetName val="Foto Produ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TQ"/>
      <sheetName val="Coil Requirement"/>
      <sheetName val="Dummy starter 20250103"/>
      <sheetName val="Template Change Log"/>
      <sheetName val="CTQ Transfer"/>
      <sheetName val="Electronic "/>
      <sheetName val="Input"/>
      <sheetName val="Criteria"/>
      <sheetName val="Approbation"/>
      <sheetName val="Dimming CT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est Protocol"/>
      <sheetName val="SPEC"/>
      <sheetName val="Transferor General"/>
      <sheetName val="Transferor Vendor"/>
      <sheetName val="Transferor QC"/>
      <sheetName val="SDOC Test List"/>
      <sheetName val="SOP"/>
      <sheetName val="Sampling Plan from Transferor"/>
      <sheetName val="Sampling Plan from Protocol"/>
      <sheetName val="general averages output no dimm"/>
      <sheetName val="CCC监督安全首页"/>
      <sheetName val="CCC监督电磁首页"/>
      <sheetName val="template"/>
      <sheetName val="Roadmap"/>
      <sheetName val="Design"/>
      <sheetName val="volPTI"/>
      <sheetName val="xy2CCT"/>
      <sheetName val="Foto Produto"/>
      <sheetName val="Drop-Downs"/>
      <sheetName val="非委托报告首页"/>
      <sheetName val="CCT2xy"/>
      <sheetName val="Sample Plan"/>
      <sheetName val="Product Classification"/>
      <sheetName val="ISRDATA"/>
      <sheetName val="dSDCM"/>
      <sheetName val="#REF"/>
      <sheetName val="Validation Plan"/>
      <sheetName val="Problem List"/>
      <sheetName val="Thermal Template"/>
      <sheetName val="Rejects P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ISRDATA"/>
      <sheetName val="Sample Plan"/>
      <sheetName val="Product Classification"/>
      <sheetName val="Design"/>
      <sheetName val="Problem List"/>
      <sheetName val="Rejects PPM"/>
      <sheetName val="非委托报告首页"/>
      <sheetName val="CCC监督安全首页"/>
      <sheetName val="SDCM"/>
      <sheetName val="CCC监督电磁首页"/>
      <sheetName val="Drop-Downs"/>
      <sheetName val="Validation Plan"/>
      <sheetName val="CCT2xy"/>
      <sheetName val="Foto Produto"/>
      <sheetName val="Sheet2"/>
      <sheetName val="Roadmap"/>
      <sheetName val="原始数据"/>
      <sheetName val="general averages output no dimm"/>
      <sheetName val="Transferor General"/>
      <sheetName val="#REF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volPTI"/>
      <sheetName val="Thermal Template"/>
      <sheetName val="IC"/>
      <sheetName val="Magnetics"/>
      <sheetName val="Resistor"/>
      <sheetName val="Inrush current"/>
      <sheetName val=" WG "/>
      <sheetName val="MG_Comp_TGT"/>
      <sheetName val="T52-1C 45W 2700K  9290037756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dSDCM"/>
      <sheetName val="xy2CCT"/>
      <sheetName val="OLT 12.5W"/>
      <sheetName val="Summary (2)"/>
      <sheetName val="封面"/>
      <sheetName val="OVP"/>
    </sheetNames>
    <definedNames>
      <definedName name="hloc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ISRDATA"/>
      <sheetName val="SDCM"/>
      <sheetName val="CCC监督安全首页"/>
      <sheetName val="CCC监督电磁首页"/>
      <sheetName val="非委托报告首页"/>
      <sheetName val="Design"/>
      <sheetName val="Validation Plan"/>
      <sheetName val="Sample Plan"/>
      <sheetName val="Product Classification"/>
      <sheetName val="Problem List"/>
      <sheetName val="Drop-Downs"/>
      <sheetName val="CCT2xy"/>
      <sheetName val="Foto Produto"/>
      <sheetName val="Rejects PPM"/>
      <sheetName val="Sheet2"/>
      <sheetName val="Roadmap"/>
      <sheetName val="原始数据"/>
      <sheetName val="general averages output no dimm"/>
      <sheetName val="#REF"/>
      <sheetName val="Transferor General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Inrush current"/>
      <sheetName val=" WG "/>
      <sheetName val="volPTI"/>
      <sheetName val="Thermal Template"/>
      <sheetName val="IC"/>
      <sheetName val="Magnetics"/>
      <sheetName val="Resistor"/>
      <sheetName val="MG_Comp_TGT"/>
      <sheetName val="dSDCM"/>
      <sheetName val="xy2CCT"/>
      <sheetName val="灯管加工1"/>
      <sheetName val="封面"/>
      <sheetName val="Summary (2)"/>
      <sheetName val="T52-1C 45W 2700K  9290037756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OLT 12.5W"/>
      <sheetName val="LOSSTMP1"/>
      <sheetName val="WDGSPEC"/>
      <sheetName val="BFORMULA"/>
      <sheetName val="Excel Design Specs"/>
      <sheetName val="Re_lamping"/>
      <sheetName val="Aux Power"/>
      <sheetName val="INDUCTANCE"/>
      <sheetName val="B.O.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EAM"/>
      <sheetName val="PS-Elec (120V)RA-A"/>
      <sheetName val="MS-MechRA-A"/>
      <sheetName val="BPRA-A"/>
      <sheetName val="PS-Elec (120V)-A"/>
      <sheetName val="MS-Mech-A"/>
      <sheetName val="BP-A"/>
      <sheetName val="B132I120-A_AP_SHEET"/>
      <sheetName val="B132I120RA-A_AP_SHEET"/>
      <sheetName val="AB132I120RA-A_COSTING"/>
      <sheetName val="AB132I120-A_BOM"/>
      <sheetName val="AB132I120RA-A_BOM"/>
      <sheetName val="Cost_Benchmarking"/>
      <sheetName val="AB132I120-A_COSTING"/>
      <sheetName val="RESISTIVE AND NO LOAD"/>
      <sheetName val="(1)F32T8"/>
      <sheetName val="(1)F31T8U"/>
      <sheetName val="benchmarking"/>
      <sheetName val="132_LOADLINE_DATA"/>
      <sheetName val="132_LOADLINE_CHART"/>
      <sheetName val="EMI_AB132I120-A"/>
      <sheetName val="EMI_AB132I120RA-A"/>
      <sheetName val="Schematic_Temp"/>
      <sheetName val="WDGSPEC"/>
      <sheetName val="LOSSTMP1"/>
      <sheetName val="BFORMULA"/>
      <sheetName val="INDUCTANCE"/>
      <sheetName val="752FP390_Sat_Curve"/>
      <sheetName val="Roadmap"/>
      <sheetName val="Validation Plan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Creepage and clearance A"/>
      <sheetName val="volPTI"/>
      <sheetName val="Sample Plan"/>
      <sheetName val="Product Classification"/>
      <sheetName val="dSDCM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xy2CCT"/>
      <sheetName val="B_O_M_"/>
      <sheetName val="CCT2xy"/>
      <sheetName val="ISRDATA"/>
      <sheetName val="#REF"/>
      <sheetName val="OVP"/>
      <sheetName val="CCC监督安全首页"/>
      <sheetName val="CCC监督电磁首页"/>
      <sheetName val="非委托报告首页"/>
      <sheetName val="封面"/>
      <sheetName val="灯管加工1"/>
      <sheetName val="Thermal Template"/>
      <sheetName val="Sheet2"/>
      <sheetName val="Rejects PP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Q_A"/>
      <sheetName val="TOC"/>
      <sheetName val="Paper Design"/>
      <sheetName val="Excel Design Specs"/>
      <sheetName val="ASK_BOM"/>
      <sheetName val="Costed BOM"/>
      <sheetName val="Software Table"/>
      <sheetName val="Magnetic Worksheet"/>
      <sheetName val="Lamp Load"/>
      <sheetName val="Resistive_ No Load _ ALS"/>
      <sheetName val="Loadline"/>
      <sheetName val="Benchmark"/>
      <sheetName val="Thermal "/>
      <sheetName val="Stage Efficiency"/>
      <sheetName val="Min_Max_Nom Analysis"/>
      <sheetName val="Audible Noise"/>
      <sheetName val="RH_RC"/>
      <sheetName val="Power Mapping"/>
      <sheetName val="Arc Test_Transorb energy"/>
      <sheetName val="Brownout Survivablility _max_"/>
      <sheetName val="Brownout Survivablility _min_"/>
      <sheetName val="Re_lamping"/>
      <sheetName val="Aux Power"/>
      <sheetName val="Remote Starting and Testing"/>
      <sheetName val="transistor testing"/>
      <sheetName val="transistor worksheet"/>
      <sheetName val="Cycle testing"/>
      <sheetName val="DC Operation"/>
      <sheetName val="EOL testing"/>
      <sheetName val="Shorted Filaments and Miswire"/>
      <sheetName val="Wrong lamps and Motion Detector"/>
      <sheetName val="AppStress Test"/>
      <sheetName val="De_Rating Matrix"/>
      <sheetName val="Waveforms"/>
      <sheetName val="EMI"/>
      <sheetName val="Other Agency Testing"/>
      <sheetName val="Validation Plan"/>
      <sheetName val="ISRDATA"/>
      <sheetName val="CCC监督安全首页"/>
      <sheetName val="CCC监督电磁首页"/>
      <sheetName val="非委托报告首页"/>
      <sheetName val="B_O_M_"/>
      <sheetName val="BFORMULA"/>
      <sheetName val="Transferor General"/>
      <sheetName val="Foto Produto"/>
      <sheetName val="Drop-Downs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dSDCM"/>
      <sheetName val="LOSSTMP1"/>
      <sheetName val="WDGSPEC"/>
      <sheetName val="INDUCTANCE"/>
      <sheetName val="Design"/>
      <sheetName val="Problem List"/>
      <sheetName val="B.O.M"/>
      <sheetName val="OVP"/>
      <sheetName val="封面"/>
      <sheetName val="Rejects PPM"/>
      <sheetName val="xy2C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B.O.M"/>
      <sheetName val="B_O_M"/>
      <sheetName val="template"/>
      <sheetName val="Excel Design Specs"/>
      <sheetName val="Re_lamping"/>
      <sheetName val="Aux Power"/>
      <sheetName val="LOSSTMP1"/>
      <sheetName val="WDGSPEC"/>
      <sheetName val="BFORMULA"/>
      <sheetName val="INDUCTANCE"/>
      <sheetName val="B_O_M_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Design"/>
      <sheetName val="Problem List"/>
      <sheetName val="dSDCM"/>
      <sheetName val="Transferor General"/>
      <sheetName val="Roadmap"/>
      <sheetName val="Validation Plan"/>
      <sheetName val="灯管加工1"/>
      <sheetName val="Foto Produto"/>
      <sheetName val="xy2CCT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Thermal Template"/>
      <sheetName val="general averages output no dimm"/>
      <sheetName val="Sample Plan"/>
      <sheetName val="Product Classification"/>
      <sheetName val="ISRDATA"/>
      <sheetName val="Sheet2"/>
      <sheetName val="Creepage and clearance A"/>
      <sheetName val="volPTI"/>
    </sheetNames>
    <definedNames>
      <definedName name="voltage3" sheetId="51"/>
      <definedName name="voltage4" sheetId="5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非委托报告首页"/>
      <sheetName val="委托报告首页"/>
      <sheetName val="产品认证首页"/>
      <sheetName val="CSC首页"/>
      <sheetName val="EMC安全首页"/>
      <sheetName val="EMC电磁首页"/>
      <sheetName val="CCC总首页"/>
      <sheetName val="CCC安全首页"/>
      <sheetName val="CCC电磁首页"/>
      <sheetName val="CCC监督首页"/>
      <sheetName val="香港报告首页"/>
      <sheetName val="CCC监督安全首页"/>
      <sheetName val="CCC监督电磁首页"/>
      <sheetName val="工程首页"/>
      <sheetName val="国抽首页"/>
      <sheetName val="食药报告首页"/>
      <sheetName val="CQC监督首页"/>
      <sheetName val="CQC总首页"/>
      <sheetName val="空白首页"/>
      <sheetName val="CECP首页"/>
      <sheetName val="安全认证型式认可用首页"/>
      <sheetName val="安全认证复评或监督用首页"/>
      <sheetName val="空气首页"/>
      <sheetName val="机检页眉"/>
      <sheetName val="机检首页"/>
      <sheetName val="CCC总首页 (2)"/>
      <sheetName val="CCC安全首页 (2)"/>
      <sheetName val="CCC电磁首页 (2)"/>
      <sheetName val="CCC监督首页 (2)"/>
      <sheetName val="CCC监督安全首页 (2)"/>
      <sheetName val="CCC监督电磁首页 (2)"/>
      <sheetName val="评审报告首页"/>
      <sheetName val="空调能耗首页"/>
      <sheetName val="CCIC首页"/>
      <sheetName val="Design"/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Foto Produto"/>
      <sheetName val="Problem List"/>
      <sheetName val="Validation Plan"/>
      <sheetName val="Revision History"/>
      <sheetName val="Template"/>
      <sheetName val="Drop-Downs"/>
      <sheetName val="Rejects PPM"/>
      <sheetName val="Roadmap"/>
      <sheetName val="Sample Plan"/>
      <sheetName val="Product Classification"/>
      <sheetName val="Cover"/>
      <sheetName val="Title"/>
      <sheetName val="Validation Matrix"/>
      <sheetName val="Validation Matrix (Philips)"/>
      <sheetName val="Validation Matrix (Supplier)"/>
      <sheetName val="Performance Validation"/>
      <sheetName val="Philips List"/>
      <sheetName val="Supplier List"/>
      <sheetName val="version"/>
      <sheetName val="Sheet2"/>
      <sheetName val="SDCM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general averages output no dimm"/>
      <sheetName val="BFORM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Excessive temperaute"/>
      <sheetName val="Validation Plan"/>
      <sheetName val="Design"/>
      <sheetName val="CCC监督安全首页"/>
      <sheetName val="CCC监督电磁首页"/>
      <sheetName val="非委托报告首页"/>
      <sheetName val="CCT2xy"/>
      <sheetName val="Excessive temperaute  02"/>
      <sheetName val="Roadmap"/>
      <sheetName val="Sheet2"/>
      <sheetName val="template"/>
      <sheetName val="ISRDATA"/>
      <sheetName val="Drop-Downs"/>
      <sheetName val="#REF"/>
      <sheetName val="volPTI"/>
      <sheetName val="Foto Produto"/>
      <sheetName val="Problem List"/>
      <sheetName val="Sample Plan"/>
      <sheetName val="Product Classification"/>
      <sheetName val="general averages output no dimm"/>
      <sheetName val="Transferor General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灯管加工1"/>
      <sheetName val="dSDCM"/>
      <sheetName val="LOSSTMP1"/>
      <sheetName val="WDGSPEC"/>
      <sheetName val="BFORMULA"/>
      <sheetName val="INDUCT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ndições Comerciais"/>
      <sheetName val="LED Lamps &amp; Systems"/>
      <sheetName val="Foto Produto"/>
      <sheetName val="Tabela Equivalência Lâmpadas"/>
      <sheetName val="dropdown"/>
      <sheetName val="Validation Plan"/>
      <sheetName val="Drop-Downs"/>
      <sheetName val="Cover"/>
      <sheetName val="Title"/>
      <sheetName val="Validation Matrix"/>
      <sheetName val="Validation Matrix (Philips)"/>
      <sheetName val="Validation Matrix (Supplier)"/>
      <sheetName val="Product Classification"/>
      <sheetName val="Performance Validation"/>
      <sheetName val="Sample Plan"/>
      <sheetName val="Philips List"/>
      <sheetName val="Supplier List"/>
      <sheetName val="version"/>
      <sheetName val="Product Info"/>
      <sheetName val="Problem List"/>
      <sheetName val="Product Maturity Grid"/>
      <sheetName val="Design"/>
      <sheetName val="Revision History"/>
      <sheetName val="Template"/>
      <sheetName val="非委托报告首页"/>
      <sheetName val="委托报告首页"/>
      <sheetName val="产品认证首页"/>
      <sheetName val="CSC首页"/>
      <sheetName val="EMC安全首页"/>
      <sheetName val="EMC电磁首页"/>
      <sheetName val="CCC总首页"/>
      <sheetName val="CCC安全首页"/>
      <sheetName val="CCC电磁首页"/>
      <sheetName val="CCC监督首页"/>
      <sheetName val="香港报告首页"/>
      <sheetName val="CCC监督安全首页"/>
      <sheetName val="CCC监督电磁首页"/>
      <sheetName val="工程首页"/>
      <sheetName val="国抽首页"/>
      <sheetName val="食药报告首页"/>
      <sheetName val="CQC监督首页"/>
      <sheetName val="CQC总首页"/>
      <sheetName val="空白首页"/>
      <sheetName val="CECP首页"/>
      <sheetName val="安全认证型式认可用首页"/>
      <sheetName val="安全认证复评或监督用首页"/>
      <sheetName val="空气首页"/>
      <sheetName val="机检页眉"/>
      <sheetName val="机检首页"/>
      <sheetName val="CCC总首页 (2)"/>
      <sheetName val="CCC安全首页 (2)"/>
      <sheetName val="CCC电磁首页 (2)"/>
      <sheetName val="CCC监督首页 (2)"/>
      <sheetName val="CCC监督安全首页 (2)"/>
      <sheetName val="CCC监督电磁首页 (2)"/>
      <sheetName val="评审报告首页"/>
      <sheetName val="空调能耗首页"/>
      <sheetName val="CCIC首页"/>
      <sheetName val="ISRDATA"/>
      <sheetName val="PortaPPAP"/>
      <sheetName val="IndicePPAP"/>
      <sheetName val="Warrant"/>
      <sheetName val="RSV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CCT2xy"/>
      <sheetName val="worklog"/>
      <sheetName val="Sheet1"/>
      <sheetName val="#REF"/>
      <sheetName val="Sheet2"/>
      <sheetName val="Transferor General"/>
      <sheetName val="general averages output no dimm"/>
      <sheetName val="B_O_M_"/>
      <sheetName val="LOSSTMP1"/>
      <sheetName val="WDGSPEC"/>
      <sheetName val="BFORMULA"/>
      <sheetName val="INDUCTANCE"/>
      <sheetName val="Roadm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itle"/>
      <sheetName val="Validation Plan"/>
      <sheetName val="Validation Matrix"/>
      <sheetName val="version"/>
      <sheetName val="Product Classification"/>
      <sheetName val="Performance Validation"/>
      <sheetName val="Sample Plan"/>
      <sheetName val="worklog"/>
      <sheetName val="Sheet1"/>
      <sheetName val="Foto Produto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Sheet2"/>
      <sheetName val="Design"/>
      <sheetName val="Problem List"/>
      <sheetName val="volPTI"/>
      <sheetName val="Drop-Downs"/>
      <sheetName val="Lists"/>
      <sheetName val="Cables"/>
      <sheetName val="Bilog Antennas"/>
      <sheetName val="Preselectors"/>
      <sheetName val="Preamplifiers"/>
      <sheetName val="Horn Antennas"/>
      <sheetName val="Limits"/>
      <sheetName val="Setup Worksheet"/>
      <sheetName val="Clamps and Probes"/>
      <sheetName val="Magnetic Loops"/>
      <sheetName val="Monopole Antennas"/>
      <sheetName val="非委托报告首页"/>
      <sheetName val="CCC监督电磁首页"/>
      <sheetName val="Transferor General"/>
      <sheetName val="Excel Design Specs"/>
      <sheetName val="Re_lamping"/>
      <sheetName val="Aux Power"/>
      <sheetName val="B_O_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est Protocol"/>
      <sheetName val="SPEC"/>
      <sheetName val="Transferor General"/>
      <sheetName val="Transferor Vendor"/>
      <sheetName val="Transferor QC"/>
      <sheetName val="SDOC Test List"/>
      <sheetName val="SOP"/>
      <sheetName val="Sampling Plan from Transferor"/>
      <sheetName val="Sampling Plan from Protocol"/>
      <sheetName val="Validation Plan"/>
      <sheetName val="Sample Plan"/>
      <sheetName val="Product Classification"/>
      <sheetName val="CCC监督安全首页"/>
      <sheetName val="CCC监督电磁首页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volPTI"/>
      <sheetName val="B.O.M"/>
      <sheetName val="Excel Design Specs"/>
      <sheetName val="Re_lamping"/>
      <sheetName val="Aux 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委托报告封面"/>
      <sheetName val="检测报告首页1"/>
      <sheetName val="样品描述 "/>
      <sheetName val="检测仪器设备清单 "/>
      <sheetName val="检测仪器设备清单4"/>
      <sheetName val="检测关键元件器件清件"/>
      <sheetName val="驱动电源及灯具新品验证"/>
      <sheetName val="驱动电源及灯具新品验证 (2)"/>
      <sheetName val="电气性能(120V) 36"/>
      <sheetName val="电气性能(277V) 36"/>
      <sheetName val="电气性能(120V)  42"/>
      <sheetName val="电气性能(277V) 42"/>
      <sheetName val="元器件V-I测试(108V)"/>
      <sheetName val="元器件V-I测试 （108V）"/>
      <sheetName val="元器件V-I测试1 (300V)"/>
      <sheetName val="元器件V-I测试 （300V）"/>
      <sheetName val="部件温度检测 "/>
      <sheetName val="部件温度检测(03)"/>
      <sheetName val="绝缘电阻和介电强度"/>
      <sheetName val="高低压启动测试 (2)"/>
      <sheetName val="低温启动性能（120V）"/>
      <sheetName val="低温启动性能（230V）"/>
      <sheetName val="低温启动性能（277V）"/>
      <sheetName val="高温开关检测（120V）"/>
      <sheetName val="高温开关检测 （230V）"/>
      <sheetName val="高温开关检测 （277V）"/>
      <sheetName val="元器件开路"/>
      <sheetName val="元器件短路"/>
      <sheetName val="浪涌检测 "/>
      <sheetName val="布置图"/>
      <sheetName val="委托报告扉页"/>
      <sheetName val="#REF"/>
      <sheetName val="检测报告首页"/>
      <sheetName val="Creepage and clearance A"/>
      <sheetName val="volPTI"/>
      <sheetName val="ISRDATA"/>
      <sheetName val="Foto Produto"/>
      <sheetName val="Validation Plan"/>
      <sheetName val="Sheet2"/>
      <sheetName val="Design"/>
      <sheetName val="Problem List"/>
      <sheetName val="SDCM"/>
      <sheetName val="Roadmap"/>
      <sheetName val="非委托报告首页"/>
      <sheetName val="CCC监督安全首页"/>
      <sheetName val="Transferor General"/>
      <sheetName val="CCC监督电磁首页"/>
      <sheetName val="template"/>
      <sheetName val="general averages output no dimm"/>
      <sheetName val="Thermal Template"/>
      <sheetName val="B.O.M"/>
      <sheetName val="Drop-Downs"/>
      <sheetName val="Rejects PPM"/>
      <sheetName val="CCT2xy"/>
      <sheetName val="灯管加工1"/>
      <sheetName val="dSDCM"/>
      <sheetName val="Sample Plan"/>
      <sheetName val="Product Classifi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Test Protocol"/>
      <sheetName val="SPEC"/>
      <sheetName val="Transferor General"/>
      <sheetName val="Transferor Vendor"/>
      <sheetName val="Transferor QC"/>
      <sheetName val="SDOC Test List"/>
      <sheetName val="SOP"/>
      <sheetName val="Sampling Plan from Transferor"/>
      <sheetName val="Sampling Plan from Protocol"/>
      <sheetName val="Foto Produto"/>
      <sheetName val="Drop-Downs"/>
      <sheetName val="Sheet2"/>
      <sheetName val="template"/>
      <sheetName val="general averages output no dimm"/>
      <sheetName val="非委托报告首页"/>
      <sheetName val="CCC监督安全首页"/>
      <sheetName val="CCC监督电磁首页"/>
      <sheetName val="volPTI"/>
      <sheetName val="Roadmap"/>
      <sheetName val="ISRDATA"/>
      <sheetName val="Inrush current(EMEA and NAM) pd"/>
      <sheetName val="Output ripple(NAM and EMEA)"/>
      <sheetName val="EME Start up&amp;shut down behavior"/>
      <sheetName val="Hi-pot"/>
      <sheetName val="ESD"/>
      <sheetName val="Neon-switch test"/>
      <sheetName val="Ripple current of Ecaps "/>
      <sheetName val="Main voltage increase "/>
      <sheetName val="Fast switching"/>
      <sheetName val="Surge for EMEA and India"/>
      <sheetName val="Ring wave for NAM and Barizl"/>
      <sheetName val="File test"/>
      <sheetName val="EMEA Dimming performance"/>
      <sheetName val="NAM Dimming performance"/>
      <sheetName val="Creepage and clearance A"/>
      <sheetName val="CCT2xy"/>
      <sheetName val="Validation Plan"/>
      <sheetName val="SDCM"/>
      <sheetName val="Design"/>
      <sheetName val="Sample Plan"/>
      <sheetName val="Product Classification"/>
      <sheetName val="Rejects PPM"/>
      <sheetName val="封面"/>
      <sheetName val="dSDCM"/>
      <sheetName val="#REF"/>
      <sheetName val="xy2CCT"/>
      <sheetName val="Inrush current  "/>
      <sheetName val="灯管加工1"/>
      <sheetName val="Problem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委托报告封面"/>
      <sheetName val="检测报告首页"/>
      <sheetName val="样品描述"/>
      <sheetName val="检测仪器设备清单"/>
      <sheetName val="检测关键元件器件清件"/>
      <sheetName val="LED新产品验证 "/>
      <sheetName val="LED新产品验证（智能）"/>
      <sheetName val="机械性能 "/>
      <sheetName val="机械性能 -直管"/>
      <sheetName val="跌落"/>
      <sheetName val="机械强度"/>
      <sheetName val="IEC拉力"/>
      <sheetName val="UL拉力"/>
      <sheetName val="振动"/>
      <sheetName val="振动布置图"/>
      <sheetName val="直管变形机械强度"/>
      <sheetName val="承重试验"/>
      <sheetName val="承重布置图"/>
      <sheetName val="转动机构耐久测试"/>
      <sheetName val="锤击试验"/>
      <sheetName val="锤击布置图"/>
      <sheetName val="敲落孔强度测试"/>
      <sheetName val="扭矩试验"/>
      <sheetName val="扭矩试验布置图"/>
      <sheetName val="防尘防水检测报告"/>
      <sheetName val="防尘防水布置图"/>
      <sheetName val="盐雾"/>
      <sheetName val="盐雾布置图"/>
      <sheetName val="IEC爬电距离 "/>
      <sheetName val="UL 爬电距离"/>
      <sheetName val="电气性能 "/>
      <sheetName val="电气性能 (纹波)"/>
      <sheetName val="光电色性能 "/>
      <sheetName val="光电色性能 (24h)"/>
      <sheetName val="光电色性能（LED光源）"/>
      <sheetName val="环带光通量"/>
      <sheetName val="TLED驱动端发蓝检测"/>
      <sheetName val="亮度均匀度检测报告"/>
      <sheetName val="骚扰电压-有线网络端口-L "/>
      <sheetName val="骚扰电压-有线网络端-N "/>
      <sheetName val="骚扰电压-本地有线端 -受限ELV-L "/>
      <sheetName val="骚扰电压-本地有线端 -受限ELV -N"/>
      <sheetName val="骚扰电压-本地有线端-非受限ELV -L "/>
      <sheetName val="骚扰电压-本地有线端 -非受限ELV-N "/>
      <sheetName val="传导布置图  "/>
      <sheetName val="CDNE  "/>
      <sheetName val="CDNE布置图"/>
      <sheetName val="FCC-L "/>
      <sheetName val="FCC-N "/>
      <sheetName val="FCC传导布置图"/>
      <sheetName val="元器件V-I检测-电压"/>
      <sheetName val="元器件V-I检测-电流"/>
      <sheetName val="部件温度检测"/>
      <sheetName val="部件温度检测布置图"/>
      <sheetName val="绝缘电阻和介电强度"/>
      <sheetName val="低温启动性能 "/>
      <sheetName val="高低压启动测试"/>
      <sheetName val="高温开关检测"/>
      <sheetName val="元器件开短路 "/>
      <sheetName val="调光曲线 (0-10V)"/>
      <sheetName val="调光曲线 (TRIAC)"/>
      <sheetName val="振铃波"/>
      <sheetName val="电气性能-振铃波前后"/>
      <sheetName val="振铃波布置图"/>
      <sheetName val="浪涌检测报告 "/>
      <sheetName val="电气性能-浪涌前后"/>
      <sheetName val="浪涌布置图"/>
      <sheetName val="Outgassing"/>
      <sheetName val="噪音测试"/>
      <sheetName val="OVP"/>
      <sheetName val="OVP (波形图)"/>
      <sheetName val="OVP (潮湿) "/>
      <sheetName val="快速开关测试"/>
      <sheetName val="overheating检测"/>
      <sheetName val="compatibility测试"/>
      <sheetName val="萤火虫开关测试"/>
      <sheetName val="氖泡开关"/>
      <sheetName val="误使用测试"/>
      <sheetName val="应急电源"/>
      <sheetName val="光频闪检测"/>
      <sheetName val="拉弧 "/>
      <sheetName val="Pin针安全  "/>
      <sheetName val="线性调整率"/>
      <sheetName val="冲击电流"/>
      <sheetName val="接地电阻"/>
      <sheetName val="委托报告扉页"/>
      <sheetName val="规范"/>
    </sheetNames>
    <sheetDataSet>
      <sheetData sheetId="0" refreshError="1">
        <row r="5">
          <cell r="G5" t="str">
            <v>报告编号：N26LEDDX21301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B40"/>
  <sheetViews>
    <sheetView tabSelected="1" view="pageBreakPreview" zoomScale="85" zoomScaleNormal="85" workbookViewId="0">
      <selection activeCell="R27" sqref="R27"/>
    </sheetView>
  </sheetViews>
  <sheetFormatPr defaultColWidth="9" defaultRowHeight="14.25"/>
  <cols>
    <col min="1" max="1" width="7.625" style="4" customWidth="1"/>
    <col min="2" max="2" width="13.25" style="5" customWidth="1"/>
    <col min="3" max="3" width="10.75" style="5" customWidth="1"/>
    <col min="4" max="4" width="7.75" style="5" customWidth="1"/>
    <col min="5" max="10" width="7.625" style="5" customWidth="1"/>
    <col min="11" max="11" width="6.75" style="6" customWidth="1"/>
    <col min="12" max="12" width="7.75" style="6" customWidth="1"/>
    <col min="13" max="13" width="9.25" style="6" customWidth="1"/>
    <col min="14" max="14" width="6.5" style="6" customWidth="1"/>
    <col min="15" max="15" width="6.25" style="4" customWidth="1"/>
    <col min="16" max="16" width="7.75" style="4" customWidth="1"/>
    <col min="17" max="17" width="7.5" style="4" customWidth="1"/>
    <col min="18" max="19" width="8.125" style="4" customWidth="1"/>
    <col min="20" max="20" width="9.5" style="4" customWidth="1"/>
    <col min="21" max="21" width="6.5" style="4" customWidth="1"/>
    <col min="22" max="22" width="6.25" style="4" customWidth="1"/>
    <col min="23" max="16384" width="9" style="4"/>
  </cols>
  <sheetData>
    <row r="1" ht="15.95" customHeight="1" spans="1:2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15.95" customHeight="1" spans="1:28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ht="13.5" customHeight="1" spans="1:28">
      <c r="A3" s="9"/>
      <c r="B3" s="10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ht="16.9" customHeight="1" spans="1:28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="1" customFormat="1" ht="19.9" customHeight="1" spans="1:28">
      <c r="A5" s="12" t="str">
        <f>[21]委托报告封面!G5</f>
        <v>报告编号：N26LEDDX21301</v>
      </c>
      <c r="B5" s="13"/>
      <c r="C5" s="13"/>
      <c r="D5" s="13"/>
      <c r="E5" s="13"/>
      <c r="F5" s="14"/>
      <c r="G5" s="14"/>
      <c r="H5" s="14"/>
      <c r="I5" s="15"/>
      <c r="J5" s="15"/>
      <c r="K5" s="16"/>
      <c r="L5" s="16"/>
      <c r="M5" s="16"/>
      <c r="N5" s="16"/>
      <c r="O5" s="17"/>
      <c r="P5" s="17"/>
      <c r="Q5" s="18"/>
      <c r="R5" s="19"/>
      <c r="S5" s="19"/>
      <c r="T5" s="19"/>
    </row>
    <row r="6" ht="19.9" customHeight="1" spans="1:28">
      <c r="A6" s="20" t="s">
        <v>4</v>
      </c>
      <c r="B6" s="20"/>
      <c r="C6" s="20"/>
      <c r="D6" s="20"/>
      <c r="E6" s="21"/>
      <c r="F6" s="21"/>
      <c r="G6" s="21"/>
      <c r="H6" s="21"/>
      <c r="I6" s="21"/>
      <c r="J6" s="21"/>
      <c r="K6" s="21"/>
      <c r="L6" s="21"/>
      <c r="M6" s="21"/>
      <c r="N6" s="22"/>
      <c r="O6" s="23" t="s">
        <v>5</v>
      </c>
      <c r="P6" s="24"/>
      <c r="Q6" s="24"/>
      <c r="R6" s="24"/>
      <c r="S6" s="25"/>
      <c r="T6" s="26"/>
      <c r="U6" s="26"/>
      <c r="V6" s="27"/>
    </row>
    <row r="7" s="2" customFormat="1" ht="19.9" customHeight="1" spans="1:28">
      <c r="A7" s="28" t="s">
        <v>6</v>
      </c>
      <c r="B7" s="28"/>
      <c r="C7" s="29" t="s">
        <v>7</v>
      </c>
      <c r="D7" s="30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="2" customFormat="1" ht="19.9" customHeight="1" spans="1:28">
      <c r="A8" s="31" t="s">
        <v>8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>
        <v>15000</v>
      </c>
      <c r="T8" s="32"/>
      <c r="U8" s="32"/>
      <c r="V8" s="32"/>
    </row>
    <row r="9" s="3" customFormat="1" ht="19.9" customHeight="1" spans="1:28">
      <c r="A9" s="33" t="s">
        <v>9</v>
      </c>
      <c r="B9" s="33" t="s">
        <v>10</v>
      </c>
      <c r="C9" s="33" t="s">
        <v>11</v>
      </c>
      <c r="D9" s="34" t="s">
        <v>12</v>
      </c>
      <c r="E9" s="35"/>
      <c r="F9" s="35"/>
      <c r="G9" s="35"/>
      <c r="H9" s="35"/>
      <c r="I9" s="36"/>
      <c r="J9" s="33" t="s">
        <v>13</v>
      </c>
      <c r="K9" s="37"/>
      <c r="L9" s="37"/>
      <c r="M9" s="37"/>
      <c r="N9" s="38" t="s">
        <v>14</v>
      </c>
      <c r="O9" s="38"/>
      <c r="P9" s="38"/>
      <c r="Q9" s="38"/>
      <c r="R9" s="35"/>
      <c r="S9" s="39"/>
      <c r="T9" s="40" t="s">
        <v>15</v>
      </c>
      <c r="U9" s="40" t="s">
        <v>16</v>
      </c>
      <c r="V9" s="40" t="s">
        <v>17</v>
      </c>
    </row>
    <row r="10" s="3" customFormat="1" ht="19.9" customHeight="1" spans="1:28">
      <c r="A10" s="33"/>
      <c r="B10" s="33"/>
      <c r="C10" s="33"/>
      <c r="D10" s="41" t="s">
        <v>18</v>
      </c>
      <c r="E10" s="41" t="s">
        <v>19</v>
      </c>
      <c r="F10" s="41" t="s">
        <v>20</v>
      </c>
      <c r="G10" s="42" t="s">
        <v>21</v>
      </c>
      <c r="H10" s="41" t="s">
        <v>22</v>
      </c>
      <c r="I10" s="42" t="s">
        <v>19</v>
      </c>
      <c r="J10" s="43" t="s">
        <v>23</v>
      </c>
      <c r="K10" s="43" t="s">
        <v>24</v>
      </c>
      <c r="L10" s="44" t="s">
        <v>25</v>
      </c>
      <c r="M10" s="44" t="s">
        <v>15</v>
      </c>
      <c r="N10" s="44" t="s">
        <v>26</v>
      </c>
      <c r="O10" s="44" t="s">
        <v>25</v>
      </c>
      <c r="P10" s="44" t="s">
        <v>15</v>
      </c>
      <c r="Q10" s="44" t="s">
        <v>18</v>
      </c>
      <c r="R10" s="44" t="s">
        <v>25</v>
      </c>
      <c r="S10" s="45" t="s">
        <v>15</v>
      </c>
      <c r="T10" s="40"/>
      <c r="U10" s="40"/>
      <c r="V10" s="40"/>
    </row>
    <row r="11" ht="16.15" customHeight="1" spans="1:28">
      <c r="A11" s="33"/>
      <c r="B11" s="33"/>
      <c r="C11" s="33"/>
      <c r="D11" s="41"/>
      <c r="E11" s="41"/>
      <c r="F11" s="41"/>
      <c r="G11" s="41"/>
      <c r="H11" s="41"/>
      <c r="I11" s="41"/>
      <c r="J11" s="46"/>
      <c r="K11" s="46"/>
      <c r="L11" s="47"/>
      <c r="M11" s="47"/>
      <c r="N11" s="47"/>
      <c r="O11" s="47"/>
      <c r="P11" s="47"/>
      <c r="Q11" s="47"/>
      <c r="R11" s="47"/>
      <c r="S11" s="48"/>
      <c r="T11" s="49"/>
      <c r="U11" s="49"/>
      <c r="V11" s="49"/>
    </row>
    <row r="12" ht="27" customHeight="1" spans="1:28">
      <c r="A12" s="50" t="s">
        <v>27</v>
      </c>
      <c r="B12" s="51" t="s">
        <v>28</v>
      </c>
      <c r="C12" s="52"/>
      <c r="D12" s="53"/>
      <c r="E12" s="54">
        <f>_xlfn.IFS(B12="薄膜电容(谐振电路)",IF($S8&gt;35000,90%,IF($S8&gt;15000,95%,100%)))</f>
        <v>1</v>
      </c>
      <c r="F12" s="54" t="s">
        <v>29</v>
      </c>
      <c r="G12" s="54" t="s">
        <v>29</v>
      </c>
      <c r="H12" s="54" t="s">
        <v>29</v>
      </c>
      <c r="I12" s="54" t="s">
        <v>29</v>
      </c>
      <c r="J12" s="54" t="s">
        <v>29</v>
      </c>
      <c r="K12" s="54" t="s">
        <v>29</v>
      </c>
      <c r="L12" s="54" t="s">
        <v>29</v>
      </c>
      <c r="M12" s="54" t="s">
        <v>29</v>
      </c>
      <c r="N12" s="54" t="s">
        <v>29</v>
      </c>
      <c r="O12" s="54" t="s">
        <v>29</v>
      </c>
      <c r="P12" s="54" t="s">
        <v>29</v>
      </c>
      <c r="Q12" s="55"/>
      <c r="R12" s="54" t="e">
        <f>Q12/D12</f>
        <v>#DIV/0!</v>
      </c>
      <c r="S12" s="56" t="e">
        <f>IF(R12&lt;=$E12,"合格","不合格")</f>
        <v>#DIV/0!</v>
      </c>
      <c r="T12" s="57" t="e">
        <f>IF(S12="合格","合格","不合格")</f>
        <v>#DIV/0!</v>
      </c>
      <c r="U12" s="58"/>
      <c r="V12" s="58"/>
      <c r="W12" s="59"/>
      <c r="X12" s="59"/>
      <c r="Y12" s="59"/>
      <c r="Z12" s="59"/>
      <c r="AA12" s="60"/>
      <c r="AB12" s="61"/>
    </row>
    <row r="13" ht="25.9" customHeight="1" spans="1:28">
      <c r="A13" s="50" t="s">
        <v>30</v>
      </c>
      <c r="B13" s="51" t="s">
        <v>31</v>
      </c>
      <c r="C13" s="52"/>
      <c r="D13" s="54" t="s">
        <v>29</v>
      </c>
      <c r="E13" s="54" t="s">
        <v>29</v>
      </c>
      <c r="F13" s="53"/>
      <c r="G13" s="54">
        <v>0.8</v>
      </c>
      <c r="H13" s="53"/>
      <c r="I13" s="54">
        <v>0.7</v>
      </c>
      <c r="J13" s="55"/>
      <c r="K13" s="54" t="s">
        <v>29</v>
      </c>
      <c r="L13" s="54" t="e">
        <f t="shared" ref="L13:L17" si="0">J13/$F13</f>
        <v>#DIV/0!</v>
      </c>
      <c r="M13" s="56" t="e">
        <f t="shared" ref="M13:M17" si="1">IF(L13&lt;=$G13,"合格","不合格")</f>
        <v>#DIV/0!</v>
      </c>
      <c r="N13" s="55"/>
      <c r="O13" s="54" t="e">
        <f t="shared" ref="O13:O17" si="2">N13/$H13</f>
        <v>#DIV/0!</v>
      </c>
      <c r="P13" s="56" t="e">
        <f t="shared" ref="P13:P17" si="3">IF(O13&lt;=$I13,"合格","不合格")</f>
        <v>#DIV/0!</v>
      </c>
      <c r="Q13" s="62" t="s">
        <v>29</v>
      </c>
      <c r="R13" s="62" t="s">
        <v>29</v>
      </c>
      <c r="S13" s="62" t="s">
        <v>29</v>
      </c>
      <c r="T13" s="57" t="e">
        <f t="shared" ref="T13:T17" si="4">IF(AND(M13="合格",P13="合格"),"合格","不合格")</f>
        <v>#DIV/0!</v>
      </c>
      <c r="U13" s="54" t="s">
        <v>29</v>
      </c>
      <c r="V13" s="54" t="s">
        <v>29</v>
      </c>
    </row>
    <row r="14" ht="25.9" customHeight="1" spans="1:28">
      <c r="A14" s="50" t="s">
        <v>30</v>
      </c>
      <c r="B14" s="51" t="s">
        <v>32</v>
      </c>
      <c r="C14" s="52"/>
      <c r="D14" s="54" t="s">
        <v>29</v>
      </c>
      <c r="E14" s="54" t="s">
        <v>29</v>
      </c>
      <c r="F14" s="53"/>
      <c r="G14" s="54">
        <v>0.9</v>
      </c>
      <c r="H14" s="53"/>
      <c r="I14" s="54">
        <v>0.8</v>
      </c>
      <c r="J14" s="55"/>
      <c r="K14" s="54" t="s">
        <v>29</v>
      </c>
      <c r="L14" s="54" t="e">
        <f t="shared" si="0"/>
        <v>#DIV/0!</v>
      </c>
      <c r="M14" s="56" t="e">
        <f t="shared" si="1"/>
        <v>#DIV/0!</v>
      </c>
      <c r="N14" s="55"/>
      <c r="O14" s="54" t="e">
        <f t="shared" si="2"/>
        <v>#DIV/0!</v>
      </c>
      <c r="P14" s="56" t="e">
        <f t="shared" si="3"/>
        <v>#DIV/0!</v>
      </c>
      <c r="Q14" s="62" t="s">
        <v>29</v>
      </c>
      <c r="R14" s="62" t="s">
        <v>29</v>
      </c>
      <c r="S14" s="62" t="s">
        <v>29</v>
      </c>
      <c r="T14" s="57" t="e">
        <f t="shared" si="4"/>
        <v>#DIV/0!</v>
      </c>
      <c r="U14" s="54" t="s">
        <v>29</v>
      </c>
      <c r="V14" s="54" t="s">
        <v>29</v>
      </c>
      <c r="W14" s="59"/>
      <c r="X14" s="59"/>
      <c r="Y14" s="59"/>
      <c r="Z14" s="59"/>
      <c r="AA14" s="60"/>
      <c r="AB14" s="61"/>
    </row>
    <row r="15" ht="25.9" customHeight="1" spans="1:28">
      <c r="A15" s="50" t="s">
        <v>33</v>
      </c>
      <c r="B15" s="51" t="s">
        <v>34</v>
      </c>
      <c r="C15" s="52"/>
      <c r="D15" s="54" t="s">
        <v>29</v>
      </c>
      <c r="E15" s="54" t="s">
        <v>29</v>
      </c>
      <c r="F15" s="53"/>
      <c r="G15" s="54">
        <v>0.9</v>
      </c>
      <c r="H15" s="53"/>
      <c r="I15" s="54">
        <v>0.8</v>
      </c>
      <c r="J15" s="55"/>
      <c r="K15" s="54" t="s">
        <v>29</v>
      </c>
      <c r="L15" s="54" t="e">
        <f t="shared" si="0"/>
        <v>#DIV/0!</v>
      </c>
      <c r="M15" s="56" t="e">
        <f t="shared" si="1"/>
        <v>#DIV/0!</v>
      </c>
      <c r="N15" s="55"/>
      <c r="O15" s="54" t="e">
        <f t="shared" si="2"/>
        <v>#DIV/0!</v>
      </c>
      <c r="P15" s="56" t="e">
        <f t="shared" si="3"/>
        <v>#DIV/0!</v>
      </c>
      <c r="Q15" s="62" t="s">
        <v>29</v>
      </c>
      <c r="R15" s="62" t="s">
        <v>29</v>
      </c>
      <c r="S15" s="62" t="s">
        <v>29</v>
      </c>
      <c r="T15" s="57" t="e">
        <f t="shared" si="4"/>
        <v>#DIV/0!</v>
      </c>
      <c r="U15" s="54" t="s">
        <v>29</v>
      </c>
      <c r="V15" s="54" t="s">
        <v>29</v>
      </c>
      <c r="W15" s="59"/>
      <c r="X15" s="59"/>
      <c r="Y15" s="59"/>
      <c r="Z15" s="59"/>
      <c r="AA15" s="60"/>
      <c r="AB15" s="61"/>
    </row>
    <row r="16" ht="25.9" customHeight="1" spans="1:28">
      <c r="A16" s="50" t="s">
        <v>33</v>
      </c>
      <c r="B16" s="51" t="s">
        <v>35</v>
      </c>
      <c r="C16" s="52"/>
      <c r="D16" s="54" t="s">
        <v>29</v>
      </c>
      <c r="E16" s="54" t="s">
        <v>29</v>
      </c>
      <c r="F16" s="53"/>
      <c r="G16" s="54">
        <v>0.9</v>
      </c>
      <c r="H16" s="53"/>
      <c r="I16" s="54">
        <v>0.8</v>
      </c>
      <c r="J16" s="55"/>
      <c r="K16" s="54" t="s">
        <v>29</v>
      </c>
      <c r="L16" s="54" t="e">
        <f t="shared" si="0"/>
        <v>#DIV/0!</v>
      </c>
      <c r="M16" s="56" t="e">
        <f t="shared" si="1"/>
        <v>#DIV/0!</v>
      </c>
      <c r="N16" s="55"/>
      <c r="O16" s="54" t="e">
        <f t="shared" si="2"/>
        <v>#DIV/0!</v>
      </c>
      <c r="P16" s="56" t="e">
        <f t="shared" si="3"/>
        <v>#DIV/0!</v>
      </c>
      <c r="Q16" s="62" t="s">
        <v>29</v>
      </c>
      <c r="R16" s="62" t="s">
        <v>29</v>
      </c>
      <c r="S16" s="62" t="s">
        <v>29</v>
      </c>
      <c r="T16" s="57" t="e">
        <f t="shared" si="4"/>
        <v>#DIV/0!</v>
      </c>
      <c r="U16" s="54" t="s">
        <v>29</v>
      </c>
      <c r="V16" s="54" t="s">
        <v>29</v>
      </c>
      <c r="W16" s="59"/>
      <c r="X16" s="59"/>
      <c r="Y16" s="59"/>
      <c r="Z16" s="59"/>
      <c r="AA16" s="60"/>
      <c r="AB16" s="61"/>
    </row>
    <row r="17" ht="25.9" customHeight="1" spans="1:28">
      <c r="A17" s="50" t="s">
        <v>33</v>
      </c>
      <c r="B17" s="51" t="s">
        <v>36</v>
      </c>
      <c r="C17" s="52"/>
      <c r="D17" s="54" t="s">
        <v>29</v>
      </c>
      <c r="E17" s="54" t="s">
        <v>29</v>
      </c>
      <c r="F17" s="53"/>
      <c r="G17" s="54">
        <v>0.9</v>
      </c>
      <c r="H17" s="53"/>
      <c r="I17" s="54">
        <v>0.8</v>
      </c>
      <c r="J17" s="55"/>
      <c r="K17" s="54" t="s">
        <v>29</v>
      </c>
      <c r="L17" s="54" t="e">
        <f t="shared" si="0"/>
        <v>#DIV/0!</v>
      </c>
      <c r="M17" s="56" t="e">
        <f t="shared" si="1"/>
        <v>#DIV/0!</v>
      </c>
      <c r="N17" s="55"/>
      <c r="O17" s="54" t="e">
        <f t="shared" si="2"/>
        <v>#DIV/0!</v>
      </c>
      <c r="P17" s="56" t="e">
        <f t="shared" si="3"/>
        <v>#DIV/0!</v>
      </c>
      <c r="Q17" s="62" t="s">
        <v>29</v>
      </c>
      <c r="R17" s="62" t="s">
        <v>29</v>
      </c>
      <c r="S17" s="62" t="s">
        <v>29</v>
      </c>
      <c r="T17" s="57" t="e">
        <f t="shared" si="4"/>
        <v>#DIV/0!</v>
      </c>
      <c r="U17" s="54" t="s">
        <v>29</v>
      </c>
      <c r="V17" s="54" t="s">
        <v>29</v>
      </c>
      <c r="W17" s="59"/>
      <c r="X17" s="59"/>
      <c r="Y17" s="59"/>
      <c r="Z17" s="59"/>
      <c r="AA17" s="60"/>
      <c r="AB17" s="61"/>
    </row>
    <row r="18" ht="25.9" customHeight="1" spans="1:28">
      <c r="A18" s="50" t="s">
        <v>37</v>
      </c>
      <c r="B18" s="51" t="s">
        <v>38</v>
      </c>
      <c r="C18" s="52"/>
      <c r="D18" s="62"/>
      <c r="E18" s="63">
        <v>0.8</v>
      </c>
      <c r="F18" s="54" t="s">
        <v>29</v>
      </c>
      <c r="G18" s="54" t="str">
        <f>_xlfn.IFS(B18="功率肖特二极管",85%,B18="功率普通硅二极管",95%,B18="整流桥",100%,B18="稳压二极管","/")</f>
        <v>/</v>
      </c>
      <c r="H18" s="54" t="s">
        <v>29</v>
      </c>
      <c r="I18" s="54" t="str">
        <f>_xlfn.IFS(B18="功率肖特二极管",85%,B18="功率普通硅二极管",95%,B18="整流桥",100%,B18="稳压二极管","/")</f>
        <v>/</v>
      </c>
      <c r="J18" s="54" t="s">
        <v>29</v>
      </c>
      <c r="K18" s="54" t="s">
        <v>29</v>
      </c>
      <c r="L18" s="54" t="s">
        <v>29</v>
      </c>
      <c r="M18" s="54" t="s">
        <v>29</v>
      </c>
      <c r="N18" s="54" t="s">
        <v>29</v>
      </c>
      <c r="O18" s="54" t="s">
        <v>29</v>
      </c>
      <c r="P18" s="54" t="s">
        <v>29</v>
      </c>
      <c r="Q18" s="55"/>
      <c r="R18" s="54" t="e">
        <f>Q18/D18</f>
        <v>#DIV/0!</v>
      </c>
      <c r="S18" s="56" t="e">
        <f>IF(AND(Q18&gt;0.5,E18&gt;R18),"合格","不合格")</f>
        <v>#DIV/0!</v>
      </c>
      <c r="T18" s="57" t="e">
        <f>IF(S18="合格","合格","不合格")</f>
        <v>#DIV/0!</v>
      </c>
      <c r="U18" s="54" t="s">
        <v>29</v>
      </c>
      <c r="V18" s="54" t="s">
        <v>29</v>
      </c>
      <c r="W18" s="59"/>
      <c r="X18" s="59"/>
      <c r="Y18" s="59"/>
      <c r="Z18" s="59"/>
      <c r="AA18" s="60"/>
      <c r="AB18" s="61"/>
    </row>
    <row r="19" ht="25.9" customHeight="1" spans="1:28">
      <c r="A19" s="33" t="s">
        <v>9</v>
      </c>
      <c r="B19" s="33" t="s">
        <v>10</v>
      </c>
      <c r="C19" s="33" t="s">
        <v>11</v>
      </c>
      <c r="D19" s="34" t="s">
        <v>12</v>
      </c>
      <c r="E19" s="35"/>
      <c r="F19" s="35"/>
      <c r="G19" s="35"/>
      <c r="H19" s="35"/>
      <c r="I19" s="36"/>
      <c r="J19" s="33" t="s">
        <v>13</v>
      </c>
      <c r="K19" s="37"/>
      <c r="L19" s="37"/>
      <c r="M19" s="37"/>
      <c r="N19" s="38" t="s">
        <v>14</v>
      </c>
      <c r="O19" s="38"/>
      <c r="P19" s="38"/>
      <c r="Q19" s="38"/>
      <c r="R19" s="35"/>
      <c r="S19" s="39"/>
      <c r="T19" s="40" t="s">
        <v>15</v>
      </c>
      <c r="U19" s="40" t="s">
        <v>16</v>
      </c>
      <c r="V19" s="40" t="s">
        <v>17</v>
      </c>
      <c r="W19" s="59"/>
      <c r="X19" s="59"/>
      <c r="Y19" s="59"/>
      <c r="Z19" s="59"/>
      <c r="AA19" s="60"/>
      <c r="AB19" s="61"/>
    </row>
    <row r="20" ht="22.9" customHeight="1" spans="1:28">
      <c r="A20" s="33"/>
      <c r="B20" s="33"/>
      <c r="C20" s="33"/>
      <c r="D20" s="41" t="s">
        <v>18</v>
      </c>
      <c r="E20" s="41" t="s">
        <v>19</v>
      </c>
      <c r="F20" s="41" t="s">
        <v>20</v>
      </c>
      <c r="G20" s="42" t="s">
        <v>21</v>
      </c>
      <c r="H20" s="41" t="s">
        <v>39</v>
      </c>
      <c r="I20" s="42" t="s">
        <v>19</v>
      </c>
      <c r="J20" s="43" t="s">
        <v>23</v>
      </c>
      <c r="K20" s="43" t="s">
        <v>24</v>
      </c>
      <c r="L20" s="44" t="s">
        <v>25</v>
      </c>
      <c r="M20" s="44" t="s">
        <v>15</v>
      </c>
      <c r="N20" s="44" t="s">
        <v>23</v>
      </c>
      <c r="O20" s="44" t="s">
        <v>25</v>
      </c>
      <c r="P20" s="44" t="s">
        <v>15</v>
      </c>
      <c r="Q20" s="44" t="s">
        <v>18</v>
      </c>
      <c r="R20" s="44" t="s">
        <v>25</v>
      </c>
      <c r="S20" s="45" t="s">
        <v>15</v>
      </c>
      <c r="T20" s="40"/>
      <c r="U20" s="40"/>
      <c r="V20" s="40"/>
      <c r="W20" s="59"/>
      <c r="X20" s="59"/>
      <c r="Y20" s="59"/>
      <c r="Z20" s="64"/>
      <c r="AA20" s="60"/>
      <c r="AB20" s="61"/>
    </row>
    <row r="21" ht="25.9" customHeight="1" spans="1:28">
      <c r="A21" s="33"/>
      <c r="B21" s="33"/>
      <c r="C21" s="33"/>
      <c r="D21" s="41"/>
      <c r="E21" s="41"/>
      <c r="F21" s="41"/>
      <c r="G21" s="41"/>
      <c r="H21" s="41"/>
      <c r="I21" s="41"/>
      <c r="J21" s="46"/>
      <c r="K21" s="46"/>
      <c r="L21" s="47"/>
      <c r="M21" s="47"/>
      <c r="N21" s="47"/>
      <c r="O21" s="47"/>
      <c r="P21" s="47"/>
      <c r="Q21" s="47"/>
      <c r="R21" s="47"/>
      <c r="S21" s="48"/>
      <c r="T21" s="49"/>
      <c r="U21" s="49"/>
      <c r="V21" s="49"/>
      <c r="W21" s="59"/>
      <c r="X21" s="59"/>
      <c r="Y21" s="59"/>
      <c r="Z21" s="64"/>
      <c r="AA21" s="60"/>
      <c r="AB21" s="61"/>
    </row>
    <row r="22" spans="1:28">
      <c r="A22" s="65" t="s">
        <v>40</v>
      </c>
      <c r="B22" s="51" t="s">
        <v>41</v>
      </c>
      <c r="C22" s="51"/>
      <c r="D22" s="54" t="s">
        <v>29</v>
      </c>
      <c r="E22" s="54" t="s">
        <v>29</v>
      </c>
      <c r="F22" s="53"/>
      <c r="G22" s="54">
        <v>0.7</v>
      </c>
      <c r="H22" s="53"/>
      <c r="I22" s="54">
        <v>0.8</v>
      </c>
      <c r="J22" s="66"/>
      <c r="K22" s="67"/>
      <c r="L22" s="54" t="e">
        <f>J22/$F22</f>
        <v>#DIV/0!</v>
      </c>
      <c r="M22" s="56" t="e">
        <f>IF(L22&lt;=$G22,"合格","不合格")</f>
        <v>#DIV/0!</v>
      </c>
      <c r="N22" s="55"/>
      <c r="O22" s="54" t="e">
        <f>N22/$H22</f>
        <v>#DIV/0!</v>
      </c>
      <c r="P22" s="56" t="e">
        <f>IF(O22&lt;=$I22,"合格","不合格")</f>
        <v>#DIV/0!</v>
      </c>
      <c r="Q22" s="62" t="s">
        <v>29</v>
      </c>
      <c r="R22" s="62" t="s">
        <v>29</v>
      </c>
      <c r="S22" s="62" t="s">
        <v>29</v>
      </c>
      <c r="T22" s="57" t="e">
        <f>IF(AND(M22="合格",P22="合格"),"合格","不合格")</f>
        <v>#DIV/0!</v>
      </c>
      <c r="U22" s="54" t="s">
        <v>29</v>
      </c>
      <c r="V22" s="54" t="s">
        <v>29</v>
      </c>
    </row>
    <row r="23" spans="1:28">
      <c r="A23" s="65" t="s">
        <v>42</v>
      </c>
      <c r="B23" s="51" t="s">
        <v>43</v>
      </c>
      <c r="C23" s="51"/>
      <c r="D23" s="62" t="s">
        <v>29</v>
      </c>
      <c r="E23" s="54" t="s">
        <v>29</v>
      </c>
      <c r="F23" s="53"/>
      <c r="G23" s="54">
        <v>0.7</v>
      </c>
      <c r="H23" s="53"/>
      <c r="I23" s="54">
        <v>0.8</v>
      </c>
      <c r="J23" s="68"/>
      <c r="K23" s="69"/>
      <c r="L23" s="54" t="e">
        <f>J23/$F23</f>
        <v>#DIV/0!</v>
      </c>
      <c r="M23" s="70" t="e">
        <f>IF(L23&lt;=$G23,"合格","不合格")</f>
        <v>#DIV/0!</v>
      </c>
      <c r="N23" s="71"/>
      <c r="O23" s="54" t="e">
        <f>N23/$H23</f>
        <v>#DIV/0!</v>
      </c>
      <c r="P23" s="70" t="e">
        <f>IF(O23&lt;=$I23,"合格","不合格")</f>
        <v>#DIV/0!</v>
      </c>
      <c r="Q23" s="62" t="s">
        <v>29</v>
      </c>
      <c r="R23" s="62" t="s">
        <v>29</v>
      </c>
      <c r="S23" s="62" t="s">
        <v>29</v>
      </c>
      <c r="T23" s="57" t="e">
        <f>IF(AND(M23="合格",P23="合格"),"合格","不合格")</f>
        <v>#DIV/0!</v>
      </c>
      <c r="U23" s="54" t="s">
        <v>29</v>
      </c>
      <c r="V23" s="54" t="s">
        <v>29</v>
      </c>
    </row>
    <row r="24" ht="25.9" customHeight="1" spans="1:28">
      <c r="A24" s="33" t="s">
        <v>9</v>
      </c>
      <c r="B24" s="33" t="s">
        <v>10</v>
      </c>
      <c r="C24" s="33" t="s">
        <v>11</v>
      </c>
      <c r="D24" s="34" t="s">
        <v>12</v>
      </c>
      <c r="E24" s="35"/>
      <c r="F24" s="35"/>
      <c r="G24" s="35"/>
      <c r="H24" s="35"/>
      <c r="I24" s="36"/>
      <c r="J24" s="72" t="s">
        <v>13</v>
      </c>
      <c r="K24" s="35"/>
      <c r="L24" s="35"/>
      <c r="M24" s="35"/>
      <c r="N24" s="35"/>
      <c r="O24" s="35"/>
      <c r="P24" s="36"/>
      <c r="Q24" s="73" t="s">
        <v>14</v>
      </c>
      <c r="R24" s="35"/>
      <c r="S24" s="35"/>
      <c r="T24" s="74" t="s">
        <v>15</v>
      </c>
      <c r="U24" s="75" t="s">
        <v>17</v>
      </c>
      <c r="V24" s="75"/>
      <c r="W24" s="59"/>
      <c r="X24" s="64"/>
      <c r="Y24" s="60"/>
      <c r="Z24" s="61"/>
    </row>
    <row r="25" ht="25.9" customHeight="1" spans="1:28">
      <c r="A25" s="33"/>
      <c r="B25" s="33"/>
      <c r="C25" s="33"/>
      <c r="D25" s="76" t="s">
        <v>44</v>
      </c>
      <c r="E25" s="76" t="s">
        <v>19</v>
      </c>
      <c r="F25" s="77" t="s">
        <v>45</v>
      </c>
      <c r="G25" s="78"/>
      <c r="H25" s="77" t="s">
        <v>21</v>
      </c>
      <c r="I25" s="78"/>
      <c r="J25" s="44" t="s">
        <v>23</v>
      </c>
      <c r="K25" s="44" t="s">
        <v>25</v>
      </c>
      <c r="L25" s="44" t="s">
        <v>15</v>
      </c>
      <c r="M25" s="43" t="s">
        <v>24</v>
      </c>
      <c r="N25" s="41" t="s">
        <v>46</v>
      </c>
      <c r="O25" s="44" t="s">
        <v>25</v>
      </c>
      <c r="P25" s="44" t="s">
        <v>15</v>
      </c>
      <c r="Q25" s="44" t="s">
        <v>18</v>
      </c>
      <c r="R25" s="44" t="s">
        <v>25</v>
      </c>
      <c r="S25" s="45" t="s">
        <v>15</v>
      </c>
      <c r="T25" s="40"/>
      <c r="U25" s="75"/>
      <c r="V25" s="75"/>
      <c r="W25" s="59"/>
      <c r="X25" s="64"/>
      <c r="Y25" s="60"/>
      <c r="Z25" s="61"/>
    </row>
    <row r="26" ht="25.9" customHeight="1" spans="1:28">
      <c r="A26" s="33"/>
      <c r="B26" s="33"/>
      <c r="C26" s="33"/>
      <c r="D26" s="76"/>
      <c r="E26" s="76"/>
      <c r="F26" s="79"/>
      <c r="G26" s="80"/>
      <c r="H26" s="79"/>
      <c r="I26" s="80"/>
      <c r="J26" s="47"/>
      <c r="K26" s="47"/>
      <c r="L26" s="47"/>
      <c r="M26" s="46"/>
      <c r="N26" s="41"/>
      <c r="O26" s="47"/>
      <c r="P26" s="47"/>
      <c r="Q26" s="47"/>
      <c r="R26" s="47"/>
      <c r="S26" s="48"/>
      <c r="T26" s="49"/>
      <c r="U26" s="75"/>
      <c r="V26" s="75"/>
      <c r="W26" s="59"/>
      <c r="X26" s="64"/>
      <c r="Y26" s="60"/>
      <c r="Z26" s="61"/>
    </row>
    <row r="27" ht="25.9" customHeight="1" spans="1:28">
      <c r="A27" s="65" t="s">
        <v>47</v>
      </c>
      <c r="B27" s="51" t="s">
        <v>48</v>
      </c>
      <c r="C27" s="51"/>
      <c r="D27" s="62" t="s">
        <v>29</v>
      </c>
      <c r="E27" s="62" t="s">
        <v>29</v>
      </c>
      <c r="F27" s="81"/>
      <c r="G27" s="82"/>
      <c r="H27" s="54">
        <v>0.8</v>
      </c>
      <c r="I27" s="83"/>
      <c r="J27" s="66"/>
      <c r="K27" s="54" t="s">
        <v>29</v>
      </c>
      <c r="L27" s="54" t="s">
        <v>29</v>
      </c>
      <c r="M27" s="56"/>
      <c r="N27" s="53">
        <f t="shared" ref="N27:N30" si="5">J27*J27*M27/1000000</f>
        <v>0</v>
      </c>
      <c r="O27" s="54" t="e">
        <f t="shared" ref="O27:O30" si="6">N27/$F27</f>
        <v>#DIV/0!</v>
      </c>
      <c r="P27" s="70" t="e">
        <f t="shared" ref="P27:P30" si="7">IF(O27&lt;=$H27,"合格","不合格")</f>
        <v>#DIV/0!</v>
      </c>
      <c r="Q27" s="62" t="s">
        <v>29</v>
      </c>
      <c r="R27" s="62" t="s">
        <v>29</v>
      </c>
      <c r="S27" s="62" t="s">
        <v>29</v>
      </c>
      <c r="T27" s="56" t="e">
        <f t="shared" ref="T27:T30" si="8">IF(AND(P27="合格"),"合格","不合格")</f>
        <v>#DIV/0!</v>
      </c>
      <c r="U27" s="62" t="s">
        <v>29</v>
      </c>
      <c r="V27" s="62"/>
      <c r="W27" s="59"/>
      <c r="X27" s="64"/>
      <c r="Y27" s="60"/>
      <c r="Z27" s="61"/>
    </row>
    <row r="28" ht="25.9" customHeight="1" spans="1:28">
      <c r="A28" s="65" t="s">
        <v>47</v>
      </c>
      <c r="B28" s="51" t="s">
        <v>49</v>
      </c>
      <c r="C28" s="51"/>
      <c r="D28" s="62" t="s">
        <v>29</v>
      </c>
      <c r="E28" s="54" t="str">
        <f>_xlfn.IFS(B28="插件电阻","/",B28="慢熔断保险丝",80%,B28="快熔断保险丝",45%)</f>
        <v>/</v>
      </c>
      <c r="F28" s="81"/>
      <c r="G28" s="82"/>
      <c r="H28" s="54">
        <f>IF($S$8&gt;15000,85%,90%)</f>
        <v>0.9</v>
      </c>
      <c r="I28" s="83"/>
      <c r="J28" s="66"/>
      <c r="K28" s="54" t="s">
        <v>29</v>
      </c>
      <c r="L28" s="54" t="s">
        <v>29</v>
      </c>
      <c r="M28" s="56"/>
      <c r="N28" s="53">
        <f t="shared" si="5"/>
        <v>0</v>
      </c>
      <c r="O28" s="54" t="e">
        <f t="shared" si="6"/>
        <v>#DIV/0!</v>
      </c>
      <c r="P28" s="70" t="e">
        <f t="shared" si="7"/>
        <v>#DIV/0!</v>
      </c>
      <c r="Q28" s="62" t="s">
        <v>29</v>
      </c>
      <c r="R28" s="62" t="s">
        <v>29</v>
      </c>
      <c r="S28" s="62" t="s">
        <v>29</v>
      </c>
      <c r="T28" s="56" t="e">
        <f t="shared" si="8"/>
        <v>#DIV/0!</v>
      </c>
      <c r="U28" s="62" t="s">
        <v>29</v>
      </c>
      <c r="V28" s="62"/>
      <c r="W28" s="59"/>
      <c r="X28" s="64"/>
      <c r="Y28" s="60"/>
      <c r="Z28" s="61"/>
    </row>
    <row r="29" ht="25.9" customHeight="1" spans="1:28">
      <c r="A29" s="65" t="s">
        <v>50</v>
      </c>
      <c r="B29" s="51" t="s">
        <v>51</v>
      </c>
      <c r="C29" s="51"/>
      <c r="D29" s="62"/>
      <c r="E29" s="54">
        <v>0.45</v>
      </c>
      <c r="F29" s="81"/>
      <c r="G29" s="82"/>
      <c r="H29" s="54">
        <v>0.4</v>
      </c>
      <c r="I29" s="83"/>
      <c r="J29" s="66"/>
      <c r="K29" s="54" t="s">
        <v>29</v>
      </c>
      <c r="L29" s="54" t="s">
        <v>29</v>
      </c>
      <c r="M29" s="56"/>
      <c r="N29" s="53">
        <f t="shared" si="5"/>
        <v>0</v>
      </c>
      <c r="O29" s="54" t="e">
        <f t="shared" si="6"/>
        <v>#DIV/0!</v>
      </c>
      <c r="P29" s="70" t="e">
        <f t="shared" si="7"/>
        <v>#DIV/0!</v>
      </c>
      <c r="Q29" s="71"/>
      <c r="R29" s="84" t="e">
        <f>Q29/D29</f>
        <v>#DIV/0!</v>
      </c>
      <c r="S29" s="70" t="e">
        <f>IF(R29&lt;=$E29,"合格","不合格")</f>
        <v>#DIV/0!</v>
      </c>
      <c r="T29" s="56" t="e">
        <f t="shared" si="8"/>
        <v>#DIV/0!</v>
      </c>
      <c r="U29" s="62" t="s">
        <v>29</v>
      </c>
      <c r="V29" s="62"/>
      <c r="W29" s="59"/>
      <c r="X29" s="64"/>
      <c r="Y29" s="60"/>
      <c r="Z29" s="61"/>
    </row>
    <row r="30" ht="22.15" customHeight="1" spans="1:28">
      <c r="A30" s="65" t="s">
        <v>52</v>
      </c>
      <c r="B30" s="51" t="s">
        <v>53</v>
      </c>
      <c r="C30" s="51"/>
      <c r="D30" s="62"/>
      <c r="E30" s="54">
        <v>0.8</v>
      </c>
      <c r="F30" s="81"/>
      <c r="G30" s="82"/>
      <c r="H30" s="54">
        <v>0.8</v>
      </c>
      <c r="I30" s="83"/>
      <c r="J30" s="66"/>
      <c r="K30" s="54" t="s">
        <v>29</v>
      </c>
      <c r="L30" s="54" t="s">
        <v>29</v>
      </c>
      <c r="M30" s="56"/>
      <c r="N30" s="53">
        <f t="shared" si="5"/>
        <v>0</v>
      </c>
      <c r="O30" s="54" t="e">
        <f t="shared" si="6"/>
        <v>#DIV/0!</v>
      </c>
      <c r="P30" s="70" t="e">
        <f t="shared" si="7"/>
        <v>#DIV/0!</v>
      </c>
      <c r="Q30" s="71"/>
      <c r="R30" s="84" t="e">
        <f>Q30/D30</f>
        <v>#DIV/0!</v>
      </c>
      <c r="S30" s="70" t="e">
        <f>IF(R30&lt;=$E30,"合格","不合格")</f>
        <v>#DIV/0!</v>
      </c>
      <c r="T30" s="56" t="e">
        <f t="shared" si="8"/>
        <v>#DIV/0!</v>
      </c>
      <c r="U30" s="62" t="s">
        <v>29</v>
      </c>
      <c r="V30" s="62"/>
    </row>
    <row r="31" ht="22.15" customHeight="1" spans="1:28">
      <c r="A31" s="85" t="s">
        <v>9</v>
      </c>
      <c r="B31" s="85" t="s">
        <v>11</v>
      </c>
      <c r="C31" s="33" t="s">
        <v>11</v>
      </c>
      <c r="D31" s="86" t="s">
        <v>54</v>
      </c>
      <c r="E31" s="87"/>
      <c r="F31" s="86" t="s">
        <v>55</v>
      </c>
      <c r="G31" s="88"/>
      <c r="H31" s="88"/>
      <c r="I31" s="88"/>
      <c r="J31" s="88"/>
      <c r="K31" s="87"/>
      <c r="L31" s="89" t="s">
        <v>13</v>
      </c>
      <c r="M31" s="90"/>
      <c r="N31" s="90"/>
      <c r="O31" s="91"/>
      <c r="P31" s="85" t="s">
        <v>14</v>
      </c>
      <c r="Q31" s="85"/>
      <c r="R31" s="85"/>
      <c r="S31" s="85"/>
      <c r="T31" s="89"/>
      <c r="U31" s="41" t="s">
        <v>15</v>
      </c>
      <c r="V31" s="41"/>
    </row>
    <row r="32" ht="22.15" customHeight="1" spans="1:28">
      <c r="A32" s="85"/>
      <c r="B32" s="85"/>
      <c r="C32" s="33"/>
      <c r="D32" s="45" t="s">
        <v>56</v>
      </c>
      <c r="E32" s="92"/>
      <c r="F32" s="45" t="s">
        <v>57</v>
      </c>
      <c r="G32" s="92"/>
      <c r="H32" s="93" t="s">
        <v>58</v>
      </c>
      <c r="I32" s="92"/>
      <c r="J32" s="44" t="s">
        <v>59</v>
      </c>
      <c r="K32" s="94" t="s">
        <v>60</v>
      </c>
      <c r="L32" s="44" t="s">
        <v>61</v>
      </c>
      <c r="M32" s="44" t="s">
        <v>62</v>
      </c>
      <c r="N32" s="45" t="s">
        <v>15</v>
      </c>
      <c r="O32" s="92"/>
      <c r="P32" s="95" t="s">
        <v>61</v>
      </c>
      <c r="Q32" s="96" t="s">
        <v>63</v>
      </c>
      <c r="R32" s="97"/>
      <c r="S32" s="95" t="s">
        <v>62</v>
      </c>
      <c r="T32" s="96" t="s">
        <v>15</v>
      </c>
      <c r="U32" s="41"/>
      <c r="V32" s="41"/>
    </row>
    <row r="33" ht="22.15" customHeight="1" spans="1:22">
      <c r="A33" s="85"/>
      <c r="B33" s="85"/>
      <c r="C33" s="33"/>
      <c r="D33" s="48"/>
      <c r="E33" s="98"/>
      <c r="F33" s="48"/>
      <c r="G33" s="98"/>
      <c r="H33" s="99"/>
      <c r="I33" s="98"/>
      <c r="J33" s="47"/>
      <c r="K33" s="100"/>
      <c r="L33" s="47"/>
      <c r="M33" s="47"/>
      <c r="N33" s="48"/>
      <c r="O33" s="98"/>
      <c r="P33" s="47"/>
      <c r="Q33" s="48"/>
      <c r="R33" s="98"/>
      <c r="S33" s="47"/>
      <c r="T33" s="48"/>
      <c r="U33" s="41"/>
      <c r="V33" s="41"/>
    </row>
    <row r="34" ht="19.9" customHeight="1" spans="1:22">
      <c r="A34" s="101" t="s">
        <v>64</v>
      </c>
      <c r="B34" s="51" t="s">
        <v>65</v>
      </c>
      <c r="C34" s="102"/>
      <c r="D34" s="103">
        <f>IF($S$8&gt;15000,0.3,0.31)</f>
        <v>0.31</v>
      </c>
      <c r="E34" s="104"/>
      <c r="F34" s="76"/>
      <c r="G34" s="76"/>
      <c r="H34" s="105"/>
      <c r="I34" s="105"/>
      <c r="J34" s="106"/>
      <c r="K34" s="107"/>
      <c r="L34" s="108"/>
      <c r="M34" s="109" t="e">
        <f t="shared" ref="M34:M37" si="9">L34*$H34/$J34/$K34</f>
        <v>#DIV/0!</v>
      </c>
      <c r="N34" s="56"/>
      <c r="O34" s="56"/>
      <c r="P34" s="108"/>
      <c r="Q34" s="110" t="s">
        <v>29</v>
      </c>
      <c r="R34" s="110"/>
      <c r="S34" s="109" t="e">
        <f t="shared" ref="S34:S37" si="10">P34*$H34/$J34/$K34</f>
        <v>#DIV/0!</v>
      </c>
      <c r="T34" s="56" t="e">
        <f t="shared" ref="T34:T37" si="11">IF(S34&lt;=$D34,"合格","不合格")</f>
        <v>#DIV/0!</v>
      </c>
      <c r="U34" s="56" t="e">
        <f t="shared" ref="U34:U37" si="12">IF(AND(N34="未饱和",T34="合格"),"合格","不合格")</f>
        <v>#DIV/0!</v>
      </c>
      <c r="V34" s="56"/>
    </row>
    <row r="35" ht="19.9" customHeight="1" spans="1:22">
      <c r="A35" s="101" t="s">
        <v>64</v>
      </c>
      <c r="B35" s="51" t="s">
        <v>66</v>
      </c>
      <c r="C35" s="102"/>
      <c r="D35" s="103">
        <f>IF($S$8&gt;15000,0.34,0.35)</f>
        <v>0.35</v>
      </c>
      <c r="E35" s="104"/>
      <c r="F35" s="76"/>
      <c r="G35" s="76"/>
      <c r="H35" s="105"/>
      <c r="I35" s="105"/>
      <c r="J35" s="106"/>
      <c r="K35" s="107"/>
      <c r="L35" s="108"/>
      <c r="M35" s="109" t="e">
        <f t="shared" si="9"/>
        <v>#DIV/0!</v>
      </c>
      <c r="N35" s="56"/>
      <c r="O35" s="56"/>
      <c r="P35" s="108"/>
      <c r="Q35" s="110" t="s">
        <v>29</v>
      </c>
      <c r="R35" s="110"/>
      <c r="S35" s="109" t="e">
        <f t="shared" si="10"/>
        <v>#DIV/0!</v>
      </c>
      <c r="T35" s="56" t="e">
        <f t="shared" si="11"/>
        <v>#DIV/0!</v>
      </c>
      <c r="U35" s="56" t="e">
        <f t="shared" si="12"/>
        <v>#DIV/0!</v>
      </c>
      <c r="V35" s="56"/>
    </row>
    <row r="36" ht="19.9" customHeight="1" spans="1:22">
      <c r="A36" s="101" t="s">
        <v>64</v>
      </c>
      <c r="B36" s="51" t="s">
        <v>67</v>
      </c>
      <c r="C36" s="102"/>
      <c r="D36" s="103">
        <f>IF($S$8&gt;15000,0.3,0.31)</f>
        <v>0.31</v>
      </c>
      <c r="E36" s="104"/>
      <c r="F36" s="76"/>
      <c r="G36" s="76"/>
      <c r="H36" s="105"/>
      <c r="I36" s="105"/>
      <c r="J36" s="106"/>
      <c r="K36" s="107"/>
      <c r="L36" s="108"/>
      <c r="M36" s="109" t="e">
        <f t="shared" si="9"/>
        <v>#DIV/0!</v>
      </c>
      <c r="N36" s="56"/>
      <c r="O36" s="56"/>
      <c r="P36" s="108"/>
      <c r="Q36" s="110" t="s">
        <v>29</v>
      </c>
      <c r="R36" s="110"/>
      <c r="S36" s="109" t="e">
        <f t="shared" si="10"/>
        <v>#DIV/0!</v>
      </c>
      <c r="T36" s="56" t="e">
        <f t="shared" si="11"/>
        <v>#DIV/0!</v>
      </c>
      <c r="U36" s="56" t="e">
        <f t="shared" si="12"/>
        <v>#DIV/0!</v>
      </c>
      <c r="V36" s="56"/>
    </row>
    <row r="37" ht="19.9" customHeight="1" spans="1:22">
      <c r="A37" s="101" t="s">
        <v>64</v>
      </c>
      <c r="B37" s="51" t="s">
        <v>68</v>
      </c>
      <c r="C37" s="102"/>
      <c r="D37" s="103">
        <f>IF($S$8&gt;15000,0.34,0.35)</f>
        <v>0.35</v>
      </c>
      <c r="E37" s="104"/>
      <c r="F37" s="76"/>
      <c r="G37" s="76"/>
      <c r="H37" s="105"/>
      <c r="I37" s="105"/>
      <c r="J37" s="106"/>
      <c r="K37" s="107"/>
      <c r="L37" s="108"/>
      <c r="M37" s="109" t="e">
        <f t="shared" si="9"/>
        <v>#DIV/0!</v>
      </c>
      <c r="N37" s="56"/>
      <c r="O37" s="56"/>
      <c r="P37" s="108"/>
      <c r="Q37" s="110" t="s">
        <v>29</v>
      </c>
      <c r="R37" s="110"/>
      <c r="S37" s="109" t="e">
        <f t="shared" si="10"/>
        <v>#DIV/0!</v>
      </c>
      <c r="T37" s="56" t="e">
        <f t="shared" si="11"/>
        <v>#DIV/0!</v>
      </c>
      <c r="U37" s="56" t="e">
        <f t="shared" si="12"/>
        <v>#DIV/0!</v>
      </c>
      <c r="V37" s="56"/>
    </row>
    <row r="38" spans="1:22">
      <c r="A38" s="101" t="s">
        <v>69</v>
      </c>
      <c r="B38" s="51" t="s">
        <v>70</v>
      </c>
      <c r="C38" s="102"/>
      <c r="D38" s="53" t="s">
        <v>29</v>
      </c>
      <c r="E38" s="53"/>
      <c r="F38" s="53" t="s">
        <v>29</v>
      </c>
      <c r="G38" s="53"/>
      <c r="H38" s="53" t="s">
        <v>29</v>
      </c>
      <c r="I38" s="53"/>
      <c r="J38" s="54" t="s">
        <v>29</v>
      </c>
      <c r="K38" s="54" t="s">
        <v>29</v>
      </c>
      <c r="L38" s="108"/>
      <c r="M38" s="54" t="s">
        <v>29</v>
      </c>
      <c r="N38" s="53" t="s">
        <v>29</v>
      </c>
      <c r="O38" s="53"/>
      <c r="P38" s="108"/>
      <c r="Q38" s="110" t="s">
        <v>29</v>
      </c>
      <c r="R38" s="110"/>
      <c r="S38" s="109" t="s">
        <v>29</v>
      </c>
      <c r="T38" s="109" t="s">
        <v>29</v>
      </c>
      <c r="U38" s="56" t="s">
        <v>29</v>
      </c>
      <c r="V38" s="56"/>
    </row>
    <row r="39" spans="1:22">
      <c r="A39" s="111" t="s">
        <v>71</v>
      </c>
      <c r="B39" s="112"/>
      <c r="C39" s="113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</row>
    <row r="40" spans="1:22">
      <c r="A40" s="115" t="s">
        <v>72</v>
      </c>
      <c r="B40" s="116"/>
      <c r="C40" s="117" t="s">
        <v>29</v>
      </c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</row>
  </sheetData>
  <mergeCells count="152">
    <mergeCell ref="A1:V1"/>
    <mergeCell ref="A2:V2"/>
    <mergeCell ref="B3:V3"/>
    <mergeCell ref="A4:V4"/>
    <mergeCell ref="A5:E5"/>
    <mergeCell ref="A6:D6"/>
    <mergeCell ref="E6:N6"/>
    <mergeCell ref="O6:R6"/>
    <mergeCell ref="S6:V6"/>
    <mergeCell ref="A7:B7"/>
    <mergeCell ref="C7:D7"/>
    <mergeCell ref="E7:V7"/>
    <mergeCell ref="A8:R8"/>
    <mergeCell ref="S8:V8"/>
    <mergeCell ref="D9:I9"/>
    <mergeCell ref="J9:M9"/>
    <mergeCell ref="N9:S9"/>
    <mergeCell ref="D19:I19"/>
    <mergeCell ref="J19:M19"/>
    <mergeCell ref="N19:S19"/>
    <mergeCell ref="D24:I24"/>
    <mergeCell ref="J24:P24"/>
    <mergeCell ref="Q24:S24"/>
    <mergeCell ref="F27:G27"/>
    <mergeCell ref="H27:I27"/>
    <mergeCell ref="U27:V27"/>
    <mergeCell ref="F28:G28"/>
    <mergeCell ref="H28:I28"/>
    <mergeCell ref="U28:V28"/>
    <mergeCell ref="F29:G29"/>
    <mergeCell ref="H29:I29"/>
    <mergeCell ref="U29:V29"/>
    <mergeCell ref="F30:G30"/>
    <mergeCell ref="H30:I30"/>
    <mergeCell ref="U30:V30"/>
    <mergeCell ref="D31:E31"/>
    <mergeCell ref="F31:K31"/>
    <mergeCell ref="L31:O31"/>
    <mergeCell ref="P31:T31"/>
    <mergeCell ref="D34:E34"/>
    <mergeCell ref="F34:G34"/>
    <mergeCell ref="H34:I34"/>
    <mergeCell ref="N34:O34"/>
    <mergeCell ref="Q34:R34"/>
    <mergeCell ref="U34:V34"/>
    <mergeCell ref="D35:E35"/>
    <mergeCell ref="F35:G35"/>
    <mergeCell ref="H35:I35"/>
    <mergeCell ref="N35:O35"/>
    <mergeCell ref="Q35:R35"/>
    <mergeCell ref="U35:V35"/>
    <mergeCell ref="D36:E36"/>
    <mergeCell ref="F36:G36"/>
    <mergeCell ref="H36:I36"/>
    <mergeCell ref="N36:O36"/>
    <mergeCell ref="Q36:R36"/>
    <mergeCell ref="U36:V36"/>
    <mergeCell ref="D37:E37"/>
    <mergeCell ref="F37:G37"/>
    <mergeCell ref="H37:I37"/>
    <mergeCell ref="N37:O37"/>
    <mergeCell ref="Q37:R37"/>
    <mergeCell ref="U37:V37"/>
    <mergeCell ref="D38:E38"/>
    <mergeCell ref="F38:G38"/>
    <mergeCell ref="H38:I38"/>
    <mergeCell ref="N38:O38"/>
    <mergeCell ref="Q38:R38"/>
    <mergeCell ref="U38:V38"/>
    <mergeCell ref="A39:B39"/>
    <mergeCell ref="C39:V39"/>
    <mergeCell ref="A40:B40"/>
    <mergeCell ref="C40:V40"/>
    <mergeCell ref="A9:A11"/>
    <mergeCell ref="A19:A21"/>
    <mergeCell ref="A24:A26"/>
    <mergeCell ref="A31:A33"/>
    <mergeCell ref="B9:B11"/>
    <mergeCell ref="B19:B21"/>
    <mergeCell ref="B24:B26"/>
    <mergeCell ref="B31:B33"/>
    <mergeCell ref="C9:C11"/>
    <mergeCell ref="C19:C21"/>
    <mergeCell ref="C24:C26"/>
    <mergeCell ref="C31:C33"/>
    <mergeCell ref="D10:D11"/>
    <mergeCell ref="D20:D21"/>
    <mergeCell ref="D25:D26"/>
    <mergeCell ref="E10:E11"/>
    <mergeCell ref="E20:E21"/>
    <mergeCell ref="E25:E26"/>
    <mergeCell ref="F10:F11"/>
    <mergeCell ref="F20:F21"/>
    <mergeCell ref="G10:G11"/>
    <mergeCell ref="G20:G21"/>
    <mergeCell ref="H10:H11"/>
    <mergeCell ref="H20:H21"/>
    <mergeCell ref="I10:I11"/>
    <mergeCell ref="I20:I21"/>
    <mergeCell ref="J10:J11"/>
    <mergeCell ref="J20:J21"/>
    <mergeCell ref="J25:J26"/>
    <mergeCell ref="J32:J33"/>
    <mergeCell ref="K10:K11"/>
    <mergeCell ref="K20:K21"/>
    <mergeCell ref="K25:K26"/>
    <mergeCell ref="K32:K33"/>
    <mergeCell ref="L10:L11"/>
    <mergeCell ref="L20:L21"/>
    <mergeCell ref="L25:L26"/>
    <mergeCell ref="L32:L33"/>
    <mergeCell ref="M10:M11"/>
    <mergeCell ref="M20:M21"/>
    <mergeCell ref="M25:M26"/>
    <mergeCell ref="M32:M33"/>
    <mergeCell ref="N10:N11"/>
    <mergeCell ref="N20:N21"/>
    <mergeCell ref="N25:N26"/>
    <mergeCell ref="O10:O11"/>
    <mergeCell ref="O20:O21"/>
    <mergeCell ref="O25:O26"/>
    <mergeCell ref="P10:P11"/>
    <mergeCell ref="P20:P21"/>
    <mergeCell ref="P25:P26"/>
    <mergeCell ref="P32:P33"/>
    <mergeCell ref="Q10:Q11"/>
    <mergeCell ref="Q20:Q21"/>
    <mergeCell ref="Q25:Q26"/>
    <mergeCell ref="R10:R11"/>
    <mergeCell ref="R20:R21"/>
    <mergeCell ref="R25:R26"/>
    <mergeCell ref="S10:S11"/>
    <mergeCell ref="S20:S21"/>
    <mergeCell ref="S25:S26"/>
    <mergeCell ref="S32:S33"/>
    <mergeCell ref="T9:T11"/>
    <mergeCell ref="T19:T21"/>
    <mergeCell ref="T24:T26"/>
    <mergeCell ref="T32:T33"/>
    <mergeCell ref="U9:U11"/>
    <mergeCell ref="U19:U21"/>
    <mergeCell ref="V9:V11"/>
    <mergeCell ref="V19:V21"/>
    <mergeCell ref="U24:V26"/>
    <mergeCell ref="F25:G26"/>
    <mergeCell ref="H25:I26"/>
    <mergeCell ref="U31:V33"/>
    <mergeCell ref="D32:E33"/>
    <mergeCell ref="F32:G33"/>
    <mergeCell ref="H32:I33"/>
    <mergeCell ref="N32:O33"/>
    <mergeCell ref="Q32:R33"/>
  </mergeCells>
  <conditionalFormatting sqref="S12">
    <cfRule type="cellIs" dxfId="0" priority="43" operator="equal">
      <formula>"合格"</formula>
    </cfRule>
    <cfRule type="cellIs" dxfId="1" priority="42" operator="equal">
      <formula>"不合格"</formula>
    </cfRule>
  </conditionalFormatting>
  <conditionalFormatting sqref="S18">
    <cfRule type="cellIs" dxfId="0" priority="28" operator="equal">
      <formula>"合格"</formula>
    </cfRule>
    <cfRule type="cellIs" dxfId="1" priority="27" operator="equal">
      <formula>"不合格"</formula>
    </cfRule>
  </conditionalFormatting>
  <conditionalFormatting sqref="T38">
    <cfRule type="cellIs" dxfId="0" priority="33" operator="equal">
      <formula>"""合格"""</formula>
    </cfRule>
    <cfRule type="cellIs" dxfId="2" priority="32" operator="equal">
      <formula>"""余量不足"""</formula>
    </cfRule>
    <cfRule type="cellIs" dxfId="1" priority="31" operator="equal">
      <formula>"""不合格"""</formula>
    </cfRule>
    <cfRule type="cellIs" dxfId="2" priority="30" operator="equal">
      <formula>"余量不足"</formula>
    </cfRule>
    <cfRule type="cellIs" priority="29" operator="equal">
      <formula>"不合格"</formula>
    </cfRule>
  </conditionalFormatting>
  <conditionalFormatting sqref="M13:M17">
    <cfRule type="cellIs" dxfId="0" priority="26" operator="equal">
      <formula>"合格"</formula>
    </cfRule>
    <cfRule type="cellIs" dxfId="1" priority="25" operator="equal">
      <formula>"不合格"</formula>
    </cfRule>
  </conditionalFormatting>
  <conditionalFormatting sqref="M22:M23">
    <cfRule type="cellIs" dxfId="0" priority="41" operator="equal">
      <formula>"合格"</formula>
    </cfRule>
    <cfRule type="cellIs" dxfId="1" priority="40" operator="equal">
      <formula>"不合格"</formula>
    </cfRule>
  </conditionalFormatting>
  <conditionalFormatting sqref="M27:M30">
    <cfRule type="cellIs" dxfId="0" priority="8" operator="equal">
      <formula>"合格"</formula>
    </cfRule>
    <cfRule type="cellIs" dxfId="1" priority="7" operator="equal">
      <formula>"不合格"</formula>
    </cfRule>
  </conditionalFormatting>
  <conditionalFormatting sqref="M34:M37">
    <cfRule type="cellIs" dxfId="0" priority="20" operator="equal">
      <formula>"""合格"""</formula>
    </cfRule>
    <cfRule type="cellIs" dxfId="2" priority="19" operator="equal">
      <formula>"""余量不足"""</formula>
    </cfRule>
    <cfRule type="cellIs" dxfId="1" priority="18" operator="equal">
      <formula>"""不合格"""</formula>
    </cfRule>
    <cfRule type="cellIs" dxfId="2" priority="17" operator="equal">
      <formula>"余量不足"</formula>
    </cfRule>
    <cfRule type="cellIs" priority="16" operator="equal">
      <formula>"不合格"</formula>
    </cfRule>
  </conditionalFormatting>
  <conditionalFormatting sqref="P13:P17">
    <cfRule type="cellIs" dxfId="0" priority="22" operator="equal">
      <formula>"合格"</formula>
    </cfRule>
    <cfRule type="cellIs" dxfId="1" priority="21" operator="equal">
      <formula>"不合格"</formula>
    </cfRule>
  </conditionalFormatting>
  <conditionalFormatting sqref="P22:P23">
    <cfRule type="cellIs" dxfId="0" priority="37" operator="equal">
      <formula>"合格"</formula>
    </cfRule>
    <cfRule type="cellIs" dxfId="1" priority="36" operator="equal">
      <formula>"不合格"</formula>
    </cfRule>
  </conditionalFormatting>
  <conditionalFormatting sqref="P27:P30">
    <cfRule type="cellIs" dxfId="0" priority="6" operator="equal">
      <formula>"合格"</formula>
    </cfRule>
    <cfRule type="cellIs" dxfId="1" priority="5" operator="equal">
      <formula>"不合格"</formula>
    </cfRule>
  </conditionalFormatting>
  <conditionalFormatting sqref="S29:S30">
    <cfRule type="cellIs" dxfId="0" priority="35" operator="equal">
      <formula>"合格"</formula>
    </cfRule>
    <cfRule type="cellIs" dxfId="1" priority="34" operator="equal">
      <formula>"不合格"</formula>
    </cfRule>
  </conditionalFormatting>
  <conditionalFormatting sqref="S34:S38">
    <cfRule type="cellIs" dxfId="0" priority="15" operator="equal">
      <formula>"""合格"""</formula>
    </cfRule>
    <cfRule type="cellIs" dxfId="2" priority="14" operator="equal">
      <formula>"""余量不足"""</formula>
    </cfRule>
    <cfRule type="cellIs" dxfId="1" priority="13" operator="equal">
      <formula>"""不合格"""</formula>
    </cfRule>
    <cfRule type="cellIs" dxfId="2" priority="12" operator="equal">
      <formula>"余量不足"</formula>
    </cfRule>
    <cfRule type="cellIs" priority="11" operator="equal">
      <formula>"不合格"</formula>
    </cfRule>
  </conditionalFormatting>
  <conditionalFormatting sqref="T12:T18">
    <cfRule type="cellIs" dxfId="0" priority="24" operator="equal">
      <formula>"合格"</formula>
    </cfRule>
    <cfRule type="cellIs" dxfId="1" priority="23" operator="equal">
      <formula>"不合格"</formula>
    </cfRule>
  </conditionalFormatting>
  <conditionalFormatting sqref="T22:T23">
    <cfRule type="cellIs" dxfId="0" priority="39" operator="equal">
      <formula>"合格"</formula>
    </cfRule>
    <cfRule type="cellIs" dxfId="1" priority="38" operator="equal">
      <formula>"不合格"</formula>
    </cfRule>
  </conditionalFormatting>
  <conditionalFormatting sqref="T27:T30">
    <cfRule type="cellIs" dxfId="0" priority="4" operator="equal">
      <formula>"合格"</formula>
    </cfRule>
    <cfRule type="cellIs" dxfId="1" priority="3" operator="equal">
      <formula>"不合格"</formula>
    </cfRule>
  </conditionalFormatting>
  <conditionalFormatting sqref="M34:N37">
    <cfRule type="cellIs" dxfId="0" priority="2" operator="equal">
      <formula>"合格"</formula>
    </cfRule>
    <cfRule type="cellIs" dxfId="1" priority="1" operator="equal">
      <formula>"不合格"</formula>
    </cfRule>
  </conditionalFormatting>
  <conditionalFormatting sqref="S34:U38">
    <cfRule type="cellIs" dxfId="0" priority="10" operator="equal">
      <formula>"合格"</formula>
    </cfRule>
    <cfRule type="cellIs" dxfId="1" priority="9" operator="equal">
      <formula>"不合格"</formula>
    </cfRule>
  </conditionalFormatting>
  <dataValidations count="1">
    <dataValidation allowBlank="1" showInputMessage="1" showErrorMessage="1" sqref="B12:B38"/>
  </dataValidations>
  <printOptions horizontalCentered="1"/>
  <pageMargins left="0.156944444444444" right="0.0784722222222222" top="0.156944444444444" bottom="0.196527777777778" header="0.196527777777778" footer="0"/>
  <pageSetup paperSize="9" scale="54" orientation="portrait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电流模板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吴均峰</dc:creator>
  <cp:lastModifiedBy>sun</cp:lastModifiedBy>
  <dcterms:created xsi:type="dcterms:W3CDTF">2026-04-21T07:22:00Z</dcterms:created>
  <dcterms:modified xsi:type="dcterms:W3CDTF">2026-08-13T08:34:21Z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8D16048F912B4810B8922EF7887C258F_11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